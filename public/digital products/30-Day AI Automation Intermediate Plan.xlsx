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30-Day Plan" sheetId="2" r:id="rId6"/>
    <sheet state="visible" name="Portfolio Projects" sheetId="3" r:id="rId7"/>
    <sheet state="visible" name="Skills Tracker" sheetId="4" r:id="rId8"/>
    <sheet state="visible" name="Compliance" sheetId="5" r:id="rId9"/>
    <sheet state="visible" name="Interview Prep" sheetId="6" r:id="rId10"/>
    <sheet state="visible" name="Resources" sheetId="7" r:id="rId11"/>
  </sheets>
  <definedNames/>
  <calcPr/>
</workbook>
</file>

<file path=xl/sharedStrings.xml><?xml version="1.0" encoding="utf-8"?>
<sst xmlns="http://schemas.openxmlformats.org/spreadsheetml/2006/main" count="604" uniqueCount="509">
  <si>
    <t>30-Day AI Automation Intermediate Sprint</t>
  </si>
  <si>
    <t>A production-focused program for reliable integrations, evaluated agents, Voice AI, lifecycle automation and measurable business systems.</t>
  </si>
  <si>
    <t>PROGRAM SETUP</t>
  </si>
  <si>
    <t>COMPLETED DAYS</t>
  </si>
  <si>
    <t>OVERALL PROGRESS</t>
  </si>
  <si>
    <t>Recommended pace</t>
  </si>
  <si>
    <t>Start date</t>
  </si>
  <si>
    <t>PLANNED HOURS</t>
  </si>
  <si>
    <t>AVERAGE QUIZ SCORE</t>
  </si>
  <si>
    <t>Target role</t>
  </si>
  <si>
    <t>AI Automation Specialist &amp; Systems Builder</t>
  </si>
  <si>
    <t>THE FIVE-BLOCK ROADMAP</t>
  </si>
  <si>
    <t>01  RELIABLE SYSTEMS</t>
  </si>
  <si>
    <t>Days 1-7</t>
  </si>
  <si>
    <t>APIs, data contracts, modular workflows and recovery  |  Milestone: resilient GHL integration</t>
  </si>
  <si>
    <t>02  AGENT ENGINEERING</t>
  </si>
  <si>
    <t>Days 8-15</t>
  </si>
  <si>
    <t>Tools, strict schemas, RAG, evals and approval  |  Milestone: evaluated service desk</t>
  </si>
  <si>
    <t>03  PRODUCTION VOICE</t>
  </si>
  <si>
    <t>Days 16-20</t>
  </si>
  <si>
    <t>SIP, latency, booking, routing and simulation  |  Milestone: production receptionist</t>
  </si>
  <si>
    <t>04  BUSINESS OPS</t>
  </si>
  <si>
    <t>Days 21-26</t>
  </si>
  <si>
    <t>Lifecycle, scoring, attendance, ROI, vendor risk and Medicare controls</t>
  </si>
  <si>
    <t>05  CAPSTONE</t>
  </si>
  <si>
    <t>Days 27-30</t>
  </si>
  <si>
    <t>End-to-end system, UAT, portfolio and technical interview</t>
  </si>
  <si>
    <t>DAILY OPERATING RHYTHM  |  3 HOURS</t>
  </si>
  <si>
    <t>LEARN  |  60 MIN</t>
  </si>
  <si>
    <t>BUILD  |  90 MIN</t>
  </si>
  <si>
    <t>TEST  |  30 MIN</t>
  </si>
  <si>
    <t>Study one focused concept. Take concise notes and explain the idea in your own words.</t>
  </si>
  <si>
    <t>Implement the day's workflow with synthetic data. Make the happy path work end to end.</t>
  </si>
  <si>
    <t>Test failures and edge cases, then save evidence before marking the day complete.</t>
  </si>
  <si>
    <t>DEFINITION OF DONE  |  MARK A DAY COMPLETE ONLY WHEN ALL FIVE ARE TRUE</t>
  </si>
  <si>
    <t>1. The daily deliverable exists and can be opened, demonstrated or inspected.</t>
  </si>
  <si>
    <t>2. The main success path works with synthetic test data.</t>
  </si>
  <si>
    <t>3. At least one failure or edge case has been tested and documented.</t>
  </si>
  <si>
    <t>4. Evidence is saved in the Notes / Evidence Link cell for that day.</t>
  </si>
  <si>
    <t>5. You can explain what you built, why it matters and what you would improve next.</t>
  </si>
  <si>
    <t>EDITING GUIDE  |  Yellow cells are your inputs. Blue values calculate automatically. Green means complete; red means blocked or unresolved.</t>
  </si>
  <si>
    <t>30-Day Intermediate Learning Plan</t>
  </si>
  <si>
    <t>Assumes foundation-level experience. Daily rhythm: study architecture (45 min) -&gt; build (105 min) -&gt; test and document (30 min).</t>
  </si>
  <si>
    <t>Day</t>
  </si>
  <si>
    <t>Planned Date</t>
  </si>
  <si>
    <t>Phase</t>
  </si>
  <si>
    <t>Main Focus</t>
  </si>
  <si>
    <t>Learning Outcome</t>
  </si>
  <si>
    <t>Study / Learn</t>
  </si>
  <si>
    <t>Hands-On Build</t>
  </si>
  <si>
    <t>Daily Deliverable</t>
  </si>
  <si>
    <t>Primary Tools</t>
  </si>
  <si>
    <t>Hours</t>
  </si>
  <si>
    <t>Status</t>
  </si>
  <si>
    <t>Quiz %</t>
  </si>
  <si>
    <t>Notes / Evidence Link</t>
  </si>
  <si>
    <t>Block 1 | Reliable Systems</t>
  </si>
  <si>
    <t>Automation opportunity audit</t>
  </si>
  <si>
    <t>Prioritize automation opportunities by value, volume, risk and implementation effort.</t>
  </si>
  <si>
    <t>Study process baselines, stakeholder interviews, opportunity scoring and measurable success criteria.</t>
  </si>
  <si>
    <t>Audit a synthetic Medicare agency and rank 10 automation opportunities with an impact-versus-risk matrix.</t>
  </si>
  <si>
    <t>Opportunity backlog with top-three recommendations and baseline KPIs.</t>
  </si>
  <si>
    <t>Process map + Excel</t>
  </si>
  <si>
    <t>Not Started</t>
  </si>
  <si>
    <t>API authentication and pagination</t>
  </si>
  <si>
    <t>Connect to APIs that use keys, OAuth, pagination and rate limits without losing records.</t>
  </si>
  <si>
    <t>Study OAuth flows, scopes, refresh tokens, pagination patterns, rate-limit headers and request IDs.</t>
  </si>
  <si>
    <t>Call a sandbox API, collect multiple pages, refresh credentials safely and log request identifiers.</t>
  </si>
  <si>
    <t>Authenticated API collection with pagination and five failure tests.</t>
  </si>
  <si>
    <t>Postman + n8n</t>
  </si>
  <si>
    <t>Data contracts and canonical IDs</t>
  </si>
  <si>
    <t>Define how records move between systems without creating conflicting sources of truth.</t>
  </si>
  <si>
    <t>Study field contracts, canonical IDs, normalization, schemas, timestamps and sync ownership.</t>
  </si>
  <si>
    <t>Design contact, opportunity, appointment and consent contracts for GHL plus one external system.</t>
  </si>
  <si>
    <t>Field map, JSON schemas and source-of-truth rules.</t>
  </si>
  <si>
    <t>GHL + JSON Schema</t>
  </si>
  <si>
    <t>Modular n8n architecture</t>
  </si>
  <si>
    <t>Build workflows that are reusable, understandable and safe to change.</t>
  </si>
  <si>
    <t>Study sub-workflows, input/output contracts, naming, credentials, environment values and version notes.</t>
  </si>
  <si>
    <t>Break a monolithic lead workflow into intake, validation, CRM write, notification and error modules.</t>
  </si>
  <si>
    <t>Modular workflow package with architecture diagram.</t>
  </si>
  <si>
    <t>n8n</t>
  </si>
  <si>
    <t>Idempotency and recovery</t>
  </si>
  <si>
    <t>Prevent duplicates and recover safely after timeouts, retries or partial failures.</t>
  </si>
  <si>
    <t>Study idempotency keys, deduplication windows, retry/backoff, replay safety and dead-letter queues.</t>
  </si>
  <si>
    <t>Inject duplicate events and API failures; prove the workflow writes each business action once.</t>
  </si>
  <si>
    <t>Recovery test matrix with replay evidence.</t>
  </si>
  <si>
    <t>n8n + GHL</t>
  </si>
  <si>
    <t>Observability and environment hygiene</t>
  </si>
  <si>
    <t>Operate automations with useful logs, alerts, secrets and environment separation.</t>
  </si>
  <si>
    <t>Study structured logs, correlation IDs, alert thresholds, secret storage and dev/test/production promotion.</t>
  </si>
  <si>
    <t>Add run IDs, business context, error alerts and an environment checklist to the modular workflow.</t>
  </si>
  <si>
    <t>Monitoring view, alert examples and promotion checklist.</t>
  </si>
  <si>
    <t>Resilient integration milestone</t>
  </si>
  <si>
    <t>Combine API, data-contract, modularity and recovery skills into a supportable integration.</t>
  </si>
  <si>
    <t>Review Days 1-6 and define acceptance criteria before building.</t>
  </si>
  <si>
    <t>Build lead intake -&gt; qualification -&gt; GHL routing -&gt; calendar follow-up with retries, deduplication and audit evidence.</t>
  </si>
  <si>
    <t>Portfolio Project 1 demo, diagram, 20 tests and runbook.</t>
  </si>
  <si>
    <t>GHL + n8n</t>
  </si>
  <si>
    <t>Block 2 | Agent Engineering</t>
  </si>
  <si>
    <t>Agent tool architecture</t>
  </si>
  <si>
    <t>Design tools that let an AI read and act without granting uncontrolled access.</t>
  </si>
  <si>
    <t>Study tool descriptions, permissions, read-versus-write separation and safe parameter boundaries.</t>
  </si>
  <si>
    <t>Define tools for contact lookup, availability, booking, task creation and human escalation.</t>
  </si>
  <si>
    <t>Tool catalog with permissions and expected errors.</t>
  </si>
  <si>
    <t>OpenAI + n8n</t>
  </si>
  <si>
    <t>Strict schemas and safe execution</t>
  </si>
  <si>
    <t>Validate every AI-generated action before it changes a business system.</t>
  </si>
  <si>
    <t>Study strict structured outputs, enum constraints, server validation and approval gates.</t>
  </si>
  <si>
    <t>Create a qualification agent whose output is validated before CRM updates or appointment actions.</t>
  </si>
  <si>
    <t>Validated schema flow with invalid-output tests.</t>
  </si>
  <si>
    <t>OpenAI + JSON Schema</t>
  </si>
  <si>
    <t>RAG ingestion and metadata</t>
  </si>
  <si>
    <t>Build a knowledge pipeline that is current, searchable and traceable to approved sources.</t>
  </si>
  <si>
    <t>Study document cleanup, chunking, metadata, versioning, ownership and refresh schedules.</t>
  </si>
  <si>
    <t>Create a synthetic agency knowledge base with source, effective-date and topic metadata.</t>
  </si>
  <si>
    <t>Indexed knowledge set plus content-governance checklist.</t>
  </si>
  <si>
    <t>OpenAI + vector store</t>
  </si>
  <si>
    <t>Retrieval quality and refusal</t>
  </si>
  <si>
    <t>Measure whether the assistant retrieves the right evidence and refuses unsupported requests.</t>
  </si>
  <si>
    <t>Study retrieval precision, metadata filters, answer grounding, citations and abstention thresholds.</t>
  </si>
  <si>
    <t>Create 40 answerable, ambiguous and unanswerable questions; score retrieval and answer behavior.</t>
  </si>
  <si>
    <t>Retrieval evaluation report and failure backlog.</t>
  </si>
  <si>
    <t>OpenAI Evals</t>
  </si>
  <si>
    <t>Evaluated service-desk milestone</t>
  </si>
  <si>
    <t>Turn knowledge, tool calls and escalation rules into a measurable customer-service workflow.</t>
  </si>
  <si>
    <t>Define service intents, authentication boundaries, ticket priority and human ownership.</t>
  </si>
  <si>
    <t>Build FAQ -&gt; authenticated lookup -&gt; ticket/task -&gt; CRM update -&gt; human escalation.</t>
  </si>
  <si>
    <t>Portfolio Project 2 demo, 40-case eval and operating guide.</t>
  </si>
  <si>
    <t>OpenAI + GHL + n8n</t>
  </si>
  <si>
    <t>Prompt-injection defenses</t>
  </si>
  <si>
    <t>Reduce the chance that untrusted text changes instructions or exposes protected information.</t>
  </si>
  <si>
    <t>Study instruction hierarchy, untrusted content boundaries, tool allowlists and data-exfiltration tests.</t>
  </si>
  <si>
    <t>Red-team the service desk with injection, impersonation and sensitive-data requests.</t>
  </si>
  <si>
    <t>Threat scenarios, results and hardened prompt/tool policy.</t>
  </si>
  <si>
    <t>OpenAI + test harness</t>
  </si>
  <si>
    <t>Human-in-the-loop approvals</t>
  </si>
  <si>
    <t>Route uncertain, sensitive or high-impact actions to people without stalling routine work.</t>
  </si>
  <si>
    <t>Study confidence limits, approval queues, timeout ownership and escalation SLAs.</t>
  </si>
  <si>
    <t>Require approval for outbound calls, record changes, complaint resolutions and sensitive actions.</t>
  </si>
  <si>
    <t>Approval workflow with SLA and timeout tests.</t>
  </si>
  <si>
    <t>Regression and model-change control</t>
  </si>
  <si>
    <t>Keep agent quality stable when prompts, models, tools or knowledge change.</t>
  </si>
  <si>
    <t>Study versioning, pinned models, regression datasets, change notes and rollback thresholds.</t>
  </si>
  <si>
    <t>Create a release checklist and rerun the service-desk eval against two configurations.</t>
  </si>
  <si>
    <t>Regression report and rollback-ready release package.</t>
  </si>
  <si>
    <t>OpenAI Evals + Git</t>
  </si>
  <si>
    <t>Block 3 | Production Voice AI</t>
  </si>
  <si>
    <t>Telephony and SIP fundamentals</t>
  </si>
  <si>
    <t>Explain the complete phone path from PSTN/SIP through the voice platform and business tools.</t>
  </si>
  <si>
    <t>Study numbers, carriers, SIP, codecs, recording, caller ID, webhooks and regional routing.</t>
  </si>
  <si>
    <t>Draw inbound and outbound call architectures for GHL, Vapi/Retell and Twilio.</t>
  </si>
  <si>
    <t>Telephony architecture with vendor decision rationale.</t>
  </si>
  <si>
    <t>Twilio + Voice AI</t>
  </si>
  <si>
    <t>Conversation state and latency</t>
  </si>
  <si>
    <t>Create natural voice interactions that handle interruptions, silence and slow tool calls.</t>
  </si>
  <si>
    <t>Study VAD, turn-taking, barge-in, filler behavior, timeouts and latency budgets.</t>
  </si>
  <si>
    <t>Tune a receptionist across interruption, silence, noise, spelling and slow-API scenarios.</t>
  </si>
  <si>
    <t>Latency breakdown and 20 conversational test results.</t>
  </si>
  <si>
    <t>Vapi/Retell</t>
  </si>
  <si>
    <t>Voice booking and CRM tools</t>
  </si>
  <si>
    <t>Make live calls execute verified calendar and CRM actions reliably.</t>
  </si>
  <si>
    <t>Study tool mocks, availability constraints, time-zone confirmation and write validation.</t>
  </si>
  <si>
    <t>Connect lookup, availability, booking, reschedule and CRM-summary tools with safe fallbacks.</t>
  </si>
  <si>
    <t>Tool-call test suite with successful and rejected actions.</t>
  </si>
  <si>
    <t>Voice AI + GHL</t>
  </si>
  <si>
    <t>Transfers, voicemail and after-hours</t>
  </si>
  <si>
    <t>Design complete routing for callers the AI cannot or should not serve.</t>
  </si>
  <si>
    <t>Study warm/blind transfer, SIP REFER, voicemail detection, routing schedules and failed-transfer recovery.</t>
  </si>
  <si>
    <t>Implement licensed-agent, complaint, emergency, human-request, voicemail and after-hours paths.</t>
  </si>
  <si>
    <t>Routing matrix and 20 handoff/fallback tests.</t>
  </si>
  <si>
    <t>Voice AI + Twilio</t>
  </si>
  <si>
    <t>Production receptionist milestone</t>
  </si>
  <si>
    <t>Prove the receptionist works across business, technical and policy scenarios.</t>
  </si>
  <si>
    <t>Define launch thresholds for tool accuracy, latency, transfer, booking and prohibited behavior.</t>
  </si>
  <si>
    <t>Run at least 50 simulated calls, fix critical failures and record a polished end-to-end demo.</t>
  </si>
  <si>
    <t>Portfolio Project 3 demo, scorecard and release decision.</t>
  </si>
  <si>
    <t>Vapi/Retell + GHL</t>
  </si>
  <si>
    <t>Block 4 | Business Operations</t>
  </si>
  <si>
    <t>Omnichannel lifecycle state machine</t>
  </si>
  <si>
    <t>Coordinate voice, SMS, email and CRM actions from one visible customer state.</t>
  </si>
  <si>
    <t>Study channel preference, event state, suppression, re-entry and stop-on-reply behavior.</t>
  </si>
  <si>
    <t>Model new lead, contacted, qualified, booked, attended, no-show, won and suppressed states.</t>
  </si>
  <si>
    <t>Lifecycle state diagram and working transition tests.</t>
  </si>
  <si>
    <t>Lead scoring and SLA routing</t>
  </si>
  <si>
    <t>Prioritize work using explainable business rules and measurable response commitments.</t>
  </si>
  <si>
    <t>Study fit, intent, recency, source quality, licensed-agent availability and SLA breach alerts.</t>
  </si>
  <si>
    <t>Create a transparent lead score and route records by priority, state and agent capacity.</t>
  </si>
  <si>
    <t>Scoring model, routing table and SLA tests.</t>
  </si>
  <si>
    <t>Appointment show-rate system</t>
  </si>
  <si>
    <t>Improve attendance with coordinated confirmation, reminder, reschedule and recovery paths.</t>
  </si>
  <si>
    <t>Study reminder timing, channel preference, reschedule friction and no-show cohorts.</t>
  </si>
  <si>
    <t>Build confirmation, reminders, easy reschedule and no-show recovery with suppression controls.</t>
  </si>
  <si>
    <t>Attendance workflow and experiment plan.</t>
  </si>
  <si>
    <t>GHL</t>
  </si>
  <si>
    <t>KPI instrumentation and ROI</t>
  </si>
  <si>
    <t>Connect technical events to operational and revenue outcomes.</t>
  </si>
  <si>
    <t>Study conversion funnels, containment, error rate, cost per booking, show rate and attribution.</t>
  </si>
  <si>
    <t>Create an executive KPI model from synthetic call, message, appointment and agent data.</t>
  </si>
  <si>
    <t>Dashboard, metric dictionary and ROI recommendation.</t>
  </si>
  <si>
    <t>Excel + GHL</t>
  </si>
  <si>
    <t>Vendor and sensitive-data review</t>
  </si>
  <si>
    <t>Assess whether each vendor and data flow has appropriate access, retention and agreements.</t>
  </si>
  <si>
    <t>Study PHI/PII inventory, least privilege, BAAs, retention, deletion and incident responsibilities.</t>
  </si>
  <si>
    <t>Review the full system data flow and remove unnecessary fields, logs and permissions.</t>
  </si>
  <si>
    <t>Vendor-control matrix and approved data-flow diagram.</t>
  </si>
  <si>
    <t>Security checklist</t>
  </si>
  <si>
    <t>CMS, TCPA and HIPAA operating controls</t>
  </si>
  <si>
    <t>Translate regulatory awareness into automation gates and evidence.</t>
  </si>
  <si>
    <t>Review official CMS, FCC, FTC and HHS sources; map each requirement to an owner and system control.</t>
  </si>
  <si>
    <t>Test consent eligibility, DNC/STOP, recording, licensed-agent transfer and audit evidence.</t>
  </si>
  <si>
    <t>Control matrix with passed, failed and counsel-review items.</t>
  </si>
  <si>
    <t>CMS/FCC/HHS guidance</t>
  </si>
  <si>
    <t>Block 5 | Capstone</t>
  </si>
  <si>
    <t>End-to-end capstone assembly</t>
  </si>
  <si>
    <t>Combine the strongest systems into one coherent operating model.</t>
  </si>
  <si>
    <t>Review dependencies, ownership, data contracts, controls, KPIs and failure paths.</t>
  </si>
  <si>
    <t>Connect intake/voice/chat -&gt; qualification -&gt; CRM -&gt; appointment -&gt; follow-up -&gt; service queue -&gt; reporting.</t>
  </si>
  <si>
    <t>Intermediate capstone v1 and system runbook.</t>
  </si>
  <si>
    <t>Full stack</t>
  </si>
  <si>
    <t>UAT and launch readiness</t>
  </si>
  <si>
    <t>Make a justified launch decision based on evidence rather than demo quality.</t>
  </si>
  <si>
    <t>Study UAT ownership, severity, launch thresholds, rollback, monitoring and support handoff.</t>
  </si>
  <si>
    <t>Execute 60 end-to-end tests, resolve critical defects and document rollback/replay steps.</t>
  </si>
  <si>
    <t>QA report, launch checklist and residual-risk register.</t>
  </si>
  <si>
    <t>Intermediate portfolio package</t>
  </si>
  <si>
    <t>Present architecture, controls and outcomes with honest evidence.</t>
  </si>
  <si>
    <t>Study architecture storytelling, measurable claims and concise technical demonstrations.</t>
  </si>
  <si>
    <t>Create four one-page case studies and record two 5-minute demos.</t>
  </si>
  <si>
    <t>Portfolio package with diagrams, tests and result summaries.</t>
  </si>
  <si>
    <t>Docs + recorder</t>
  </si>
  <si>
    <t>Technical interview simulation</t>
  </si>
  <si>
    <t>Defend system choices, tradeoffs, failures and business value under questioning.</t>
  </si>
  <si>
    <t>Review the Interview Prep and Skills Tracker tabs; prepare evidence for weak areas.</t>
  </si>
  <si>
    <t>Run a 60-minute mock interview and revise answers that lack architecture, controls or metrics.</t>
  </si>
  <si>
    <t>Final readiness score and targeted improvement list.</t>
  </si>
  <si>
    <t>Zoom + workbook</t>
  </si>
  <si>
    <t>Portfolio Projects</t>
  </si>
  <si>
    <t>Use synthetic data. A portfolio project is complete only when it has a demo, architecture, tests, failure handling and a clear business result.</t>
  </si>
  <si>
    <t>Project</t>
  </si>
  <si>
    <t>Business Problem</t>
  </si>
  <si>
    <t>Core Workflow</t>
  </si>
  <si>
    <t>Required Controls</t>
  </si>
  <si>
    <t>Proof / Deliverables</t>
  </si>
  <si>
    <t>Success Metrics</t>
  </si>
  <si>
    <t>Target Day</t>
  </si>
  <si>
    <t>1. Resilient GHL Integration Hub</t>
  </si>
  <si>
    <t>Manual lead handling and fragile point-to-point automations.</t>
  </si>
  <si>
    <t>Webhook/API -&gt; validate -&gt; deduplicate -&gt; CRM/calendar -&gt; follow-up -&gt; reconciliation.</t>
  </si>
  <si>
    <t>Data contracts, idempotency, retries, error queue, correlation IDs and runbook.</t>
  </si>
  <si>
    <t>Diagram, workflow export, 20 tests, monitoring proof and 5-minute demo.</t>
  </si>
  <si>
    <t>No duplicate business actions; failures recover or alert; records reconcile.</t>
  </si>
  <si>
    <t>2. Evaluated AI Service Desk</t>
  </si>
  <si>
    <t>FAQ and service work is inconsistent, difficult to measure and risky when automated.</t>
  </si>
  <si>
    <t>Approved knowledge -&gt; authenticated tools -&gt; ticket/CRM -&gt; human approval/escalation.</t>
  </si>
  <si>
    <t>Grounding, strict schemas, prompt-injection defense, approvals and regression tests.</t>
  </si>
  <si>
    <t>40+ case eval, security tests, operating guide and demo.</t>
  </si>
  <si>
    <t>&gt;=90% approved-case success; 100% sensitive/unsupported cases escalated.</t>
  </si>
  <si>
    <t>3. Production Voice Receptionist</t>
  </si>
  <si>
    <t>The voice demo works, but booking, transfers and failures are not launch-ready.</t>
  </si>
  <si>
    <t>PSTN/SIP -&gt; voice agent -&gt; tools -&gt; calendar/CRM -&gt; transfer -&gt; post-call workflow.</t>
  </si>
  <si>
    <t>Latency budget, tool validation, voicemail, after-hours, failover and policy paths.</t>
  </si>
  <si>
    <t>50-call scorecard, call samples, routing matrix and release decision.</t>
  </si>
  <si>
    <t>&gt;=95% tool accuracy; no critical policy failures; every failed transfer has fallback.</t>
  </si>
  <si>
    <t>4. Revenue Operations Capstone</t>
  </si>
  <si>
    <t>Customer communication, CRM and reporting are disconnected.</t>
  </si>
  <si>
    <t>Voice/chat -&gt; qualification -&gt; appointment -&gt; lifecycle -&gt; service -&gt; KPI/ROI reporting.</t>
  </si>
  <si>
    <t>Least privilege, consent/DNC, monitoring, UAT, rollback and control evidence.</t>
  </si>
  <si>
    <t>Runbook, 60+ UAT tests, KPI model, case studies and executive demo.</t>
  </si>
  <si>
    <t>Critical tests pass; metrics reconcile; owners can operate and recover the system.</t>
  </si>
  <si>
    <t>Skills Readiness Tracker</t>
  </si>
  <si>
    <t>Score yourself honestly from 1–5. A target-level score requires evidence: a working build, test result, architecture explanation or documented operating procedure.</t>
  </si>
  <si>
    <t>Category</t>
  </si>
  <si>
    <t>Skill</t>
  </si>
  <si>
    <t>Target Level</t>
  </si>
  <si>
    <t>Current Level</t>
  </si>
  <si>
    <t>Gap</t>
  </si>
  <si>
    <t>Evidence Required</t>
  </si>
  <si>
    <t>Best Practice Days</t>
  </si>
  <si>
    <t>Evidence / Link</t>
  </si>
  <si>
    <t>Business</t>
  </si>
  <si>
    <t>Opportunity scoring and ROI</t>
  </si>
  <si>
    <t>Prioritized portfolio + KPI baseline</t>
  </si>
  <si>
    <t>1, 24</t>
  </si>
  <si>
    <t>Integration</t>
  </si>
  <si>
    <t>OAuth, pagination and API limits</t>
  </si>
  <si>
    <t>Authenticated multi-page integration</t>
  </si>
  <si>
    <t>2</t>
  </si>
  <si>
    <t>Data</t>
  </si>
  <si>
    <t>Contracts, IDs and reconciliation</t>
  </si>
  <si>
    <t>Schemas + source-of-truth rules</t>
  </si>
  <si>
    <t>3, 21</t>
  </si>
  <si>
    <t>Automation</t>
  </si>
  <si>
    <t>Modular n8n engineering</t>
  </si>
  <si>
    <t>Sub-workflows + release package</t>
  </si>
  <si>
    <t>4-7</t>
  </si>
  <si>
    <t>Reliability</t>
  </si>
  <si>
    <t>Idempotency, recovery and observability</t>
  </si>
  <si>
    <t>Failure/replay tests + monitoring</t>
  </si>
  <si>
    <t>5-7</t>
  </si>
  <si>
    <t>Agents</t>
  </si>
  <si>
    <t>Tool architecture and strict schemas</t>
  </si>
  <si>
    <t>Validated agent action flow</t>
  </si>
  <si>
    <t>8-9</t>
  </si>
  <si>
    <t>Knowledge</t>
  </si>
  <si>
    <t>RAG governance and evaluations</t>
  </si>
  <si>
    <t>40-case retrieval/eval report</t>
  </si>
  <si>
    <t>10-12</t>
  </si>
  <si>
    <t>AI Security</t>
  </si>
  <si>
    <t>Injection defense and approvals</t>
  </si>
  <si>
    <t>Red team + HITL workflow</t>
  </si>
  <si>
    <t>13-14</t>
  </si>
  <si>
    <t>Voice</t>
  </si>
  <si>
    <t>Telephony, SIP and latency</t>
  </si>
  <si>
    <t>Architecture + latency test</t>
  </si>
  <si>
    <t>16-17</t>
  </si>
  <si>
    <t>Booking, routing and failover</t>
  </si>
  <si>
    <t>50-call production scorecard</t>
  </si>
  <si>
    <t>18-20</t>
  </si>
  <si>
    <t>Lifecycle</t>
  </si>
  <si>
    <t>Omnichannel state and SLA routing</t>
  </si>
  <si>
    <t>State machine + routing tests</t>
  </si>
  <si>
    <t>21-23</t>
  </si>
  <si>
    <t>Analytics</t>
  </si>
  <si>
    <t>Metric dictionary + dashboard</t>
  </si>
  <si>
    <t>24</t>
  </si>
  <si>
    <t>Governance</t>
  </si>
  <si>
    <t>Security and Medicare controls</t>
  </si>
  <si>
    <t>Vendor/control matrix</t>
  </si>
  <si>
    <t>25-26</t>
  </si>
  <si>
    <t>Communication</t>
  </si>
  <si>
    <t>Runbooks, case studies and interview</t>
  </si>
  <si>
    <t>Portfolio + 60-minute mock</t>
  </si>
  <si>
    <t>27-30</t>
  </si>
  <si>
    <t>Medicare &amp; Healthcare Automation Checkpoints</t>
  </si>
  <si>
    <t>Training checklist—not legal advice. Confirm current federal/state requirements, carrier rules and agency counsel before deployment. Use synthetic data during learning.</t>
  </si>
  <si>
    <t>Area</t>
  </si>
  <si>
    <t>Question Before Launch</t>
  </si>
  <si>
    <t>Expected Control</t>
  </si>
  <si>
    <t>Evidence</t>
  </si>
  <si>
    <t>Owner</t>
  </si>
  <si>
    <t>Official Source</t>
  </si>
  <si>
    <t>AI voice / TCPA</t>
  </si>
  <si>
    <t>Is this outbound call using an artificial or prerecorded voice, and is the required consent documented?</t>
  </si>
  <si>
    <t>Eligibility gate before dialing; timestamped consent evidence; caller identification and opt-out path.</t>
  </si>
  <si>
    <t>Consent record + dial decision log</t>
  </si>
  <si>
    <t>Compliance</t>
  </si>
  <si>
    <t>Not Reviewed</t>
  </si>
  <si>
    <t>https://docs.fcc.gov/public/attachments/FCC-24-17A1_Rcd.pdf</t>
  </si>
  <si>
    <t>Do Not Call</t>
  </si>
  <si>
    <t>Are National, state and entity-specific DNC/STOP requests suppressed?</t>
  </si>
  <si>
    <t>Central suppression list checked before contact; immediate STOP/DNC update across channels.</t>
  </si>
  <si>
    <t>Suppression test + audit log</t>
  </si>
  <si>
    <t>https://www.ftc.gov/business-guidance/resources/complying-telemarketing-sales-rule</t>
  </si>
  <si>
    <t>Medicare contact</t>
  </si>
  <si>
    <t>Did the beneficiary initiate contact or provide permission for the specific follow-up?</t>
  </si>
  <si>
    <t>No unsolicited Medicare cold-calling; store source, purpose, seller and permission evidence.</t>
  </si>
  <si>
    <t>Lead provenance + permission record</t>
  </si>
  <si>
    <t>Licensed lead</t>
  </si>
  <si>
    <t>https://www.cms.gov/medicare/health-drug-plans/managed-care-marketing/medicare-guidelines</t>
  </si>
  <si>
    <t>TPMO data sharing</t>
  </si>
  <si>
    <t>If beneficiary data is shared with another TPMO, is one-to-one written consent present?</t>
  </si>
  <si>
    <t>Separate transparent consent per recipient TPMO; block transfer if missing.</t>
  </si>
  <si>
    <t>Consent text, timestamp and recipient</t>
  </si>
  <si>
    <t>https://www.cms.gov/newsroom/fact-sheets/contract-year-2025-medicare-advantage-part-d-final-rule-cms-4205-f</t>
  </si>
  <si>
    <t>Call recording</t>
  </si>
  <si>
    <t>Must this marketing, sales or enrollment call be recorded and retained?</t>
  </si>
  <si>
    <t>Record the complete required call, protect access and follow approved retention policy.</t>
  </si>
  <si>
    <t>Recording ID + retention metadata</t>
  </si>
  <si>
    <t>Compliance/IT</t>
  </si>
  <si>
    <t>https://www.cms.gov/files/document/cy2026agentbrokertrainingtestingguidelinespdf.pdf</t>
  </si>
  <si>
    <t>Licensed activity</t>
  </si>
  <si>
    <t>Could the AI be interpreting benefits, recommending a plan or enrolling someone?</t>
  </si>
  <si>
    <t>Restrict AI to approved administrative tasks; transfer regulated advice and enrollment to an appropriately licensed agent.</t>
  </si>
  <si>
    <t>Prompt rule + transfer tests</t>
  </si>
  <si>
    <t>Licensed agent</t>
  </si>
  <si>
    <t>https://www.cms.gov/medicare/health-drug-plans/managed-care-marketing/medicare-marketing-guidelines/agent-broker-compensation</t>
  </si>
  <si>
    <t>PHI / HIPAA</t>
  </si>
  <si>
    <t>Will any vendor create, receive, maintain or transmit ePHI for a covered entity/business associate?</t>
  </si>
  <si>
    <t>Confirm regulatory role, BAA, permitted use, risk analysis, access, encryption, retention and incident process.</t>
  </si>
  <si>
    <t>Vendor approval + BAA + data flow</t>
  </si>
  <si>
    <t>Privacy/Security</t>
  </si>
  <si>
    <t>https://www.hhs.gov/hipaa/for-professionals/special-topics/health-information-technology/cloud-computing/index.html</t>
  </si>
  <si>
    <t>Data minimization</t>
  </si>
  <si>
    <t>Does the workflow collect only what it needs for the approved purpose?</t>
  </si>
  <si>
    <t>Remove unnecessary fields from prompts, transcripts, logs and notifications; mask sensitive values.</t>
  </si>
  <si>
    <t>Field inventory + minimization review</t>
  </si>
  <si>
    <t>System owner</t>
  </si>
  <si>
    <t>https://www.hhs.gov/hipaa/for-professionals/privacy/index.html</t>
  </si>
  <si>
    <t>Human escalation</t>
  </si>
  <si>
    <t>Can the AI recognize uncertainty, complaints, emergencies and explicit requests for a human?</t>
  </si>
  <si>
    <t>Defined transfer triggers, safe fallback, after-hours route and failed-transfer alert.</t>
  </si>
  <si>
    <t>Scenario tests + routing table</t>
  </si>
  <si>
    <t>Operations</t>
  </si>
  <si>
    <t>https://elevenlabs.io/docs/eleven-agents/customization/tools/system-tools/transfer-to-number</t>
  </si>
  <si>
    <t>Audit &amp; incidents</t>
  </si>
  <si>
    <t>Can the team reconstruct what happened and respond to an error?</t>
  </si>
  <si>
    <t>Log consent decision, model/tool result, record changes, owner, error and recovery without exposing excess sensitive data.</t>
  </si>
  <si>
    <t>Audit sample + incident runbook</t>
  </si>
  <si>
    <t>IT/Operations</t>
  </si>
  <si>
    <t>https://www.hhs.gov/hipaa/for-professionals/security/laws-regulations/index.html</t>
  </si>
  <si>
    <t>Interview Preparation</t>
  </si>
  <si>
    <t>Answer in this order: business problem → architecture → controls/failure paths → human handoff → metrics. Use evidence from your portfolio; never invent client outcomes.</t>
  </si>
  <si>
    <t>#</t>
  </si>
  <si>
    <t>Interview Question</t>
  </si>
  <si>
    <t>A Strong Answer Must Include</t>
  </si>
  <si>
    <t>Your Answer Notes</t>
  </si>
  <si>
    <t>Evidence / Project</t>
  </si>
  <si>
    <t>Confidence (1–5)</t>
  </si>
  <si>
    <t>How would you turn a fragile GHL automation into a production-ready system?</t>
  </si>
  <si>
    <t>Modular design, contracts, idempotency, retry/replay, monitoring, ownership, tests and rollback.</t>
  </si>
  <si>
    <t>How do OAuth, pagination and rate limits affect integration design?</t>
  </si>
  <si>
    <t>Scopes, token refresh, secure storage, page completeness, backoff, request IDs and reconciliation.</t>
  </si>
  <si>
    <t>How do you prevent two systems from fighting over the same field?</t>
  </si>
  <si>
    <t>Authoritative ownership, canonical IDs, timestamps, conflict rules, exception queue and reconciliation.</t>
  </si>
  <si>
    <t>When should an n8n workflow become multiple sub-workflows?</t>
  </si>
  <si>
    <t>Stable responsibilities, explicit contracts, reuse, separate failure domains, testing and ownership.</t>
  </si>
  <si>
    <t>How do you prove retries will not create duplicate appointments?</t>
  </si>
  <si>
    <t>Idempotency key, precondition check, unique business key, safe retry, replay tests and reconciliation.</t>
  </si>
  <si>
    <t>How would you design tools for an AI customer-service agent?</t>
  </si>
  <si>
    <t>Least privilege, read/write separation, strict schemas, validation, approval and safe errors.</t>
  </si>
  <si>
    <t>How do you evaluate a RAG assistant?</t>
  </si>
  <si>
    <t>Retrieval relevance, grounded answers, citations, refusal, freshness, access control and regression dataset.</t>
  </si>
  <si>
    <t>How do you defend against prompt injection?</t>
  </si>
  <si>
    <t>Untrusted-content boundary, instruction hierarchy, tool allowlist, output validation, data minimization and tests.</t>
  </si>
  <si>
    <t>What causes voice-agent latency and how do you reduce it?</t>
  </si>
  <si>
    <t>Network, STT, model, tools, TTS, turn detection; measure each component and preserve quality.</t>
  </si>
  <si>
    <t>How do you make voice appointment booking reliable?</t>
  </si>
  <si>
    <t>Calendar source of truth, timezone confirmation, strict tool inputs, idempotency, confirmation and fallback.</t>
  </si>
  <si>
    <t>What should happen when a warm transfer fails?</t>
  </si>
  <si>
    <t>Caller-safe message, alternate destination, callback task, alert, context preservation and audit record.</t>
  </si>
  <si>
    <t>How do you operate an outbound AI appointment system safely?</t>
  </si>
  <si>
    <t>Eligibility, seller-specific consent, suppression, quiet hours, identification, opt-out and independent policy gate.</t>
  </si>
  <si>
    <t>How do you connect technical metrics to ROI?</t>
  </si>
  <si>
    <t>Baseline funnel, containment, conversion/show rate, error cost, platform cost and measured value per outcome.</t>
  </si>
  <si>
    <t>What evidence is required for a launch decision?</t>
  </si>
  <si>
    <t>Acceptance criteria, regression/UAT results, policy tests, monitoring, rollback, owners and residual risks.</t>
  </si>
  <si>
    <t>What would you improve first in this agency?</t>
  </si>
  <si>
    <t>Discovery and baseline, value/risk prioritization, bounded pilot, measurable threshold and staged expansion.</t>
  </si>
  <si>
    <t>Official Learning Resources</t>
  </si>
  <si>
    <t>Start with official documentation. Product features and legal requirements change; verify current instructions before production use.</t>
  </si>
  <si>
    <t>Topic</t>
  </si>
  <si>
    <t>Resource</t>
  </si>
  <si>
    <t>Why It Matters</t>
  </si>
  <si>
    <t>Use On Day</t>
  </si>
  <si>
    <t>URL</t>
  </si>
  <si>
    <t>OpenAI</t>
  </si>
  <si>
    <t>API reference</t>
  </si>
  <si>
    <t>Authentication, request IDs, rate limits and compatibility.</t>
  </si>
  <si>
    <t>2, 15</t>
  </si>
  <si>
    <t>https://platform.openai.com/docs/api-reference/</t>
  </si>
  <si>
    <t>Structured outputs and tools</t>
  </si>
  <si>
    <t>Strict schemas and controlled tool execution.</t>
  </si>
  <si>
    <t>https://platform.openai.com/docs/guides/function-calling</t>
  </si>
  <si>
    <t>Evals</t>
  </si>
  <si>
    <t>Regression, task and model evaluation.</t>
  </si>
  <si>
    <t>11-15</t>
  </si>
  <si>
    <t>https://platform.openai.com/docs/guides/evals</t>
  </si>
  <si>
    <t>Realtime API</t>
  </si>
  <si>
    <t>Voice sessions, turn detection and tool calling.</t>
  </si>
  <si>
    <t>16-20</t>
  </si>
  <si>
    <t>https://platform.openai.com/docs/api-reference/realtime</t>
  </si>
  <si>
    <t>Sub-workflows</t>
  </si>
  <si>
    <t>Modular workflow design and reuse.</t>
  </si>
  <si>
    <t>4</t>
  </si>
  <si>
    <t>https://docs.n8n.io/flow-logic/subworkflows/</t>
  </si>
  <si>
    <t>Error handling</t>
  </si>
  <si>
    <t>Recovery, error workflows and operational behavior.</t>
  </si>
  <si>
    <t>https://docs.n8n.io/flow-logic/error-handling/</t>
  </si>
  <si>
    <t>Vapi</t>
  </si>
  <si>
    <t>Evals quickstart</t>
  </si>
  <si>
    <t>Automated mock conversations and tool-call validation.</t>
  </si>
  <si>
    <t>17-20</t>
  </si>
  <si>
    <t>https://docs.vapi.ai/observability/evals-quickstart</t>
  </si>
  <si>
    <t>Monitoring</t>
  </si>
  <si>
    <t>Automated production quality monitoring.</t>
  </si>
  <si>
    <t>20</t>
  </si>
  <si>
    <t>https://docs.vapi.ai/observability/monitoring-quickstart</t>
  </si>
  <si>
    <t>Retell AI</t>
  </si>
  <si>
    <t>Testing overview</t>
  </si>
  <si>
    <t>Simulation, batch and live-call validation.</t>
  </si>
  <si>
    <t>https://docs.retellai.com/test/test-overview</t>
  </si>
  <si>
    <t>Twilio</t>
  </si>
  <si>
    <t>SIP overview</t>
  </si>
  <si>
    <t>SIP connectivity and call routing.</t>
  </si>
  <si>
    <t>16, 19</t>
  </si>
  <si>
    <t>https://www.twilio.com/docs/voice/sip</t>
  </si>
  <si>
    <t>GoHighLevel</t>
  </si>
  <si>
    <t>Voice AI overview</t>
  </si>
  <si>
    <t>GHL voice, calendars, actions and reporting.</t>
  </si>
  <si>
    <t>18-23</t>
  </si>
  <si>
    <t>https://help.gohighlevel.com/support/solutions/articles/155000003911-overview-of-voice-ai-agents</t>
  </si>
  <si>
    <t>CMS</t>
  </si>
  <si>
    <t>Medicare marketing guidelines</t>
  </si>
  <si>
    <t>Official Medicare communication and marketing guidance.</t>
  </si>
  <si>
    <t>26</t>
  </si>
  <si>
    <t>FCC</t>
  </si>
  <si>
    <t>AI-generated voice TCPA ruling</t>
  </si>
  <si>
    <t>Artificial/prerecorded voice treatment under TCPA.</t>
  </si>
  <si>
    <t>FTC</t>
  </si>
  <si>
    <t>Telemarketing Sales Rule</t>
  </si>
  <si>
    <t>DNC, disclosures and opt-out requirements.</t>
  </si>
  <si>
    <t>HHS</t>
  </si>
  <si>
    <t>HIPAA and cloud computing</t>
  </si>
  <si>
    <t>BAAs, risk analysis and ePHI safeguards.</t>
  </si>
  <si>
    <t>Make</t>
  </si>
  <si>
    <t>Scenario retry and incomplete-execution patterns.</t>
  </si>
  <si>
    <t>5</t>
  </si>
  <si>
    <t>https://help.make.com/overview-of-error-handling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</si>
</sst>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17">
    <font>
      <sz val="11.0"/>
      <color rgb="FF000000"/>
      <name val="Carlito"/>
      <scheme val="minor"/>
    </font>
    <font>
      <b/>
      <sz val="19.0"/>
      <color rgb="FFFFFFFF"/>
      <name val="Aptos"/>
    </font>
    <font/>
    <font>
      <i/>
      <sz val="10.0"/>
      <color rgb="FF52606D"/>
      <name val="Aptos"/>
    </font>
    <font>
      <sz val="11.0"/>
      <color theme="1"/>
      <name val="Aptos"/>
    </font>
    <font>
      <b/>
      <sz val="10.0"/>
      <color rgb="FFFFFFFF"/>
      <name val="Aptos"/>
    </font>
    <font>
      <b/>
      <sz val="9.0"/>
      <color rgb="FFFFFFFF"/>
      <name val="Aptos"/>
    </font>
    <font>
      <b/>
      <sz val="11.0"/>
      <color rgb="FF102A43"/>
      <name val="Aptos"/>
    </font>
    <font>
      <b/>
      <sz val="20.0"/>
      <color rgb="FF2F6BFF"/>
      <name val="Aptos"/>
    </font>
    <font>
      <sz val="11.0"/>
      <color rgb="FF102A43"/>
      <name val="Aptos"/>
    </font>
    <font>
      <i/>
      <sz val="9.0"/>
      <color rgb="FF52606D"/>
      <name val="Aptos"/>
    </font>
    <font>
      <b/>
      <sz val="19.0"/>
      <color rgb="FFFFFFFF"/>
      <name val="Play"/>
    </font>
    <font>
      <sz val="10.0"/>
      <color rgb="FF52606D"/>
      <name val="Aptos"/>
    </font>
    <font>
      <sz val="10.0"/>
      <color rgb="FF243746"/>
      <name val="Aptos"/>
    </font>
    <font>
      <b/>
      <sz val="10.0"/>
      <color rgb="FF102A43"/>
      <name val="Aptos"/>
    </font>
    <font>
      <sz val="9.0"/>
      <color rgb="FF2F6BFF"/>
      <name val="Aptos"/>
    </font>
    <font>
      <sz val="10.0"/>
      <color rgb="FF102A43"/>
      <name val="Aptos"/>
    </font>
  </fonts>
  <fills count="16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FFFFFF"/>
        <bgColor rgb="FFFFFFFF"/>
      </patternFill>
    </fill>
    <fill>
      <patternFill patternType="solid">
        <fgColor rgb="FF147D73"/>
        <bgColor rgb="FF147D73"/>
      </patternFill>
    </fill>
    <fill>
      <patternFill patternType="solid">
        <fgColor rgb="FFF4F7FA"/>
        <bgColor rgb="FFF4F7FA"/>
      </patternFill>
    </fill>
    <fill>
      <patternFill patternType="solid">
        <fgColor rgb="FFFFF7E1"/>
        <bgColor rgb="FFFFF7E1"/>
      </patternFill>
    </fill>
    <fill>
      <patternFill patternType="solid">
        <fgColor rgb="FFEEF4FF"/>
        <bgColor rgb="FFEEF4FF"/>
      </patternFill>
    </fill>
    <fill>
      <patternFill patternType="solid">
        <fgColor rgb="FFE9F7F3"/>
        <bgColor rgb="FFE9F7F3"/>
      </patternFill>
    </fill>
    <fill>
      <patternFill patternType="solid">
        <fgColor rgb="FF6D5BD0"/>
        <bgColor rgb="FF6D5BD0"/>
      </patternFill>
    </fill>
    <fill>
      <patternFill patternType="solid">
        <fgColor rgb="FFF1EEFF"/>
        <bgColor rgb="FFF1EEFF"/>
      </patternFill>
    </fill>
    <fill>
      <patternFill patternType="solid">
        <fgColor rgb="FFC65D4B"/>
        <bgColor rgb="FFC65D4B"/>
      </patternFill>
    </fill>
    <fill>
      <patternFill patternType="solid">
        <fgColor rgb="FFFCEFEB"/>
        <bgColor rgb="FFFCEFEB"/>
      </patternFill>
    </fill>
    <fill>
      <patternFill patternType="solid">
        <fgColor rgb="FFD6A847"/>
        <bgColor rgb="FFD6A847"/>
      </patternFill>
    </fill>
    <fill>
      <patternFill patternType="solid">
        <fgColor rgb="FFEAF6EE"/>
        <bgColor rgb="FFEAF6EE"/>
      </patternFill>
    </fill>
    <fill>
      <patternFill patternType="solid">
        <fgColor rgb="FFFCEDEA"/>
        <bgColor rgb="FFFCEDEA"/>
      </patternFill>
    </fill>
  </fills>
  <borders count="19">
    <border/>
    <border>
      <bottom style="thick">
        <color rgb="FFD6A847"/>
      </bottom>
    </border>
    <border>
      <bottom style="thin">
        <color rgb="FFD9E2EC"/>
      </bottom>
    </border>
    <border>
      <bottom style="medium">
        <color rgb="FF102A43"/>
      </bottom>
    </border>
    <border>
      <top style="thin">
        <color rgb="FFD9E2EC"/>
      </top>
      <bottom style="thin">
        <color rgb="FFD9E2EC"/>
      </bottom>
    </border>
    <border>
      <top style="thin">
        <color rgb="FFD9E2EC"/>
      </top>
    </border>
    <border>
      <bottom style="medium">
        <color rgb="FFD6A847"/>
      </bottom>
    </border>
    <border>
      <left style="thin">
        <color rgb="FFD9E2EC"/>
      </left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right style="thin">
        <color rgb="FF72B5AE"/>
      </right>
      <bottom style="medium">
        <color rgb="FF102A43"/>
      </bottom>
    </border>
    <border>
      <left style="thin">
        <color rgb="FF72B5AE"/>
      </left>
      <right style="thin">
        <color rgb="FF72B5AE"/>
      </right>
      <bottom style="medium">
        <color rgb="FF102A43"/>
      </bottom>
    </border>
    <border>
      <left style="thin">
        <color rgb="FF72B5AE"/>
      </left>
      <bottom style="medium">
        <color rgb="FF102A43"/>
      </bottom>
    </border>
    <border>
      <top style="thick">
        <color rgb="FF102A43"/>
      </top>
      <bottom style="thin">
        <color rgb="FFD9E2EC"/>
      </bottom>
    </border>
    <border>
      <top style="medium">
        <color rgb="FFD6A847"/>
      </top>
      <bottom style="medium">
        <color rgb="FFD6A847"/>
      </bottom>
    </border>
    <border>
      <top style="thick">
        <color rgb="FF102A43"/>
      </top>
      <bottom style="medium">
        <color rgb="FFD6A847"/>
      </bottom>
    </border>
    <border>
      <bottom style="medium">
        <color rgb="FFD9E2EC"/>
      </bottom>
    </border>
    <border>
      <top style="thin">
        <color rgb="FFD9E2EC"/>
      </top>
      <bottom style="medium">
        <color rgb="FFD9E2EC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Border="1" applyFont="1"/>
    <xf borderId="2" fillId="3" fontId="3" numFmtId="0" xfId="0" applyAlignment="1" applyBorder="1" applyFill="1" applyFont="1">
      <alignment shrinkToFit="0" vertical="center" wrapText="1"/>
    </xf>
    <xf borderId="2" fillId="0" fontId="2" numFmtId="0" xfId="0" applyBorder="1" applyFont="1"/>
    <xf borderId="0" fillId="0" fontId="4" numFmtId="0" xfId="0" applyFont="1"/>
    <xf borderId="3" fillId="4" fontId="5" numFmtId="0" xfId="0" applyBorder="1" applyFill="1" applyFont="1"/>
    <xf borderId="3" fillId="0" fontId="2" numFmtId="0" xfId="0" applyBorder="1" applyFont="1"/>
    <xf borderId="0" fillId="2" fontId="6" numFmtId="0" xfId="0" applyAlignment="1" applyFont="1">
      <alignment horizontal="center" vertical="center"/>
    </xf>
    <xf borderId="2" fillId="5" fontId="7" numFmtId="0" xfId="0" applyAlignment="1" applyBorder="1" applyFill="1" applyFont="1">
      <alignment vertical="center"/>
    </xf>
    <xf borderId="2" fillId="6" fontId="7" numFmtId="164" xfId="0" applyAlignment="1" applyBorder="1" applyFill="1" applyFont="1" applyNumberFormat="1">
      <alignment shrinkToFit="0" vertical="center" wrapText="1"/>
    </xf>
    <xf borderId="2" fillId="7" fontId="8" numFmtId="1" xfId="0" applyAlignment="1" applyBorder="1" applyFill="1" applyFont="1" applyNumberFormat="1">
      <alignment horizontal="center" vertical="center"/>
    </xf>
    <xf borderId="2" fillId="7" fontId="8" numFmtId="9" xfId="0" applyAlignment="1" applyBorder="1" applyFont="1" applyNumberFormat="1">
      <alignment horizontal="center" vertical="center"/>
    </xf>
    <xf borderId="4" fillId="5" fontId="7" numFmtId="0" xfId="0" applyAlignment="1" applyBorder="1" applyFont="1">
      <alignment vertical="center"/>
    </xf>
    <xf borderId="4" fillId="0" fontId="2" numFmtId="0" xfId="0" applyBorder="1" applyFont="1"/>
    <xf borderId="4" fillId="6" fontId="7" numFmtId="165" xfId="0" applyAlignment="1" applyBorder="1" applyFont="1" applyNumberFormat="1">
      <alignment shrinkToFit="0" vertical="center" wrapText="1"/>
    </xf>
    <xf borderId="5" fillId="5" fontId="7" numFmtId="0" xfId="0" applyAlignment="1" applyBorder="1" applyFont="1">
      <alignment vertical="center"/>
    </xf>
    <xf borderId="5" fillId="0" fontId="2" numFmtId="0" xfId="0" applyBorder="1" applyFont="1"/>
    <xf borderId="5" fillId="6" fontId="7" numFmtId="0" xfId="0" applyAlignment="1" applyBorder="1" applyFont="1">
      <alignment shrinkToFit="0" vertical="center" wrapText="1"/>
    </xf>
    <xf borderId="6" fillId="2" fontId="5" numFmtId="0" xfId="0" applyBorder="1" applyFont="1"/>
    <xf borderId="6" fillId="0" fontId="2" numFmtId="0" xfId="0" applyBorder="1" applyFont="1"/>
    <xf borderId="2" fillId="4" fontId="6" numFmtId="0" xfId="0" applyAlignment="1" applyBorder="1" applyFont="1">
      <alignment vertical="center"/>
    </xf>
    <xf borderId="2" fillId="8" fontId="7" numFmtId="0" xfId="0" applyAlignment="1" applyBorder="1" applyFill="1" applyFont="1">
      <alignment horizontal="center" vertical="center"/>
    </xf>
    <xf borderId="2" fillId="8" fontId="9" numFmtId="0" xfId="0" applyAlignment="1" applyBorder="1" applyFont="1">
      <alignment shrinkToFit="0" vertical="center" wrapText="1"/>
    </xf>
    <xf borderId="2" fillId="9" fontId="6" numFmtId="0" xfId="0" applyAlignment="1" applyBorder="1" applyFill="1" applyFont="1">
      <alignment vertical="center"/>
    </xf>
    <xf borderId="2" fillId="10" fontId="7" numFmtId="0" xfId="0" applyAlignment="1" applyBorder="1" applyFill="1" applyFont="1">
      <alignment horizontal="center" vertical="center"/>
    </xf>
    <xf borderId="2" fillId="10" fontId="9" numFmtId="0" xfId="0" applyAlignment="1" applyBorder="1" applyFont="1">
      <alignment shrinkToFit="0" vertical="center" wrapText="1"/>
    </xf>
    <xf borderId="2" fillId="11" fontId="6" numFmtId="0" xfId="0" applyAlignment="1" applyBorder="1" applyFill="1" applyFont="1">
      <alignment vertical="center"/>
    </xf>
    <xf borderId="2" fillId="12" fontId="7" numFmtId="0" xfId="0" applyAlignment="1" applyBorder="1" applyFill="1" applyFont="1">
      <alignment horizontal="center" vertical="center"/>
    </xf>
    <xf borderId="2" fillId="12" fontId="9" numFmtId="0" xfId="0" applyAlignment="1" applyBorder="1" applyFont="1">
      <alignment shrinkToFit="0" vertical="center" wrapText="1"/>
    </xf>
    <xf borderId="2" fillId="13" fontId="6" numFmtId="0" xfId="0" applyAlignment="1" applyBorder="1" applyFill="1" applyFont="1">
      <alignment vertical="center"/>
    </xf>
    <xf borderId="2" fillId="6" fontId="7" numFmtId="0" xfId="0" applyAlignment="1" applyBorder="1" applyFont="1">
      <alignment horizontal="center" vertical="center"/>
    </xf>
    <xf borderId="2" fillId="6" fontId="9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vertical="center"/>
    </xf>
    <xf borderId="2" fillId="7" fontId="7" numFmtId="0" xfId="0" applyAlignment="1" applyBorder="1" applyFont="1">
      <alignment horizontal="center" vertical="center"/>
    </xf>
    <xf borderId="2" fillId="7" fontId="9" numFmtId="0" xfId="0" applyAlignment="1" applyBorder="1" applyFont="1">
      <alignment shrinkToFit="0" vertical="center" wrapText="1"/>
    </xf>
    <xf borderId="0" fillId="4" fontId="5" numFmtId="0" xfId="0" applyFont="1"/>
    <xf borderId="7" fillId="5" fontId="9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2" fontId="5" numFmtId="0" xfId="0" applyFont="1"/>
    <xf borderId="2" fillId="3" fontId="9" numFmtId="0" xfId="0" applyAlignment="1" applyBorder="1" applyFont="1">
      <alignment vertical="center"/>
    </xf>
    <xf borderId="2" fillId="5" fontId="9" numFmtId="0" xfId="0" applyAlignment="1" applyBorder="1" applyFont="1">
      <alignment vertical="center"/>
    </xf>
    <xf borderId="0" fillId="6" fontId="10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1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shrinkToFit="0" vertical="center" wrapText="1"/>
    </xf>
    <xf borderId="14" fillId="8" fontId="7" numFmtId="0" xfId="0" applyAlignment="1" applyBorder="1" applyFont="1">
      <alignment horizontal="center" shrinkToFit="0" vertical="center" wrapText="1"/>
    </xf>
    <xf borderId="14" fillId="8" fontId="12" numFmtId="165" xfId="0" applyAlignment="1" applyBorder="1" applyFont="1" applyNumberFormat="1">
      <alignment horizontal="center" shrinkToFit="0" vertical="center" wrapText="1"/>
    </xf>
    <xf borderId="14" fillId="4" fontId="6" numFmtId="0" xfId="0" applyAlignment="1" applyBorder="1" applyFont="1">
      <alignment shrinkToFit="0" vertical="center" wrapText="1"/>
    </xf>
    <xf borderId="14" fillId="3" fontId="13" numFmtId="0" xfId="0" applyAlignment="1" applyBorder="1" applyFont="1">
      <alignment shrinkToFit="0" vertical="top" wrapText="1"/>
    </xf>
    <xf borderId="14" fillId="3" fontId="13" numFmtId="164" xfId="0" applyAlignment="1" applyBorder="1" applyFont="1" applyNumberFormat="1">
      <alignment shrinkToFit="0" vertical="top" wrapText="1"/>
    </xf>
    <xf borderId="14" fillId="6" fontId="13" numFmtId="0" xfId="0" applyAlignment="1" applyBorder="1" applyFont="1">
      <alignment horizontal="center" shrinkToFit="0" vertical="center" wrapText="1"/>
    </xf>
    <xf borderId="14" fillId="6" fontId="13" numFmtId="1" xfId="0" applyAlignment="1" applyBorder="1" applyFont="1" applyNumberFormat="1">
      <alignment horizontal="center" shrinkToFit="0" vertical="center" wrapText="1"/>
    </xf>
    <xf borderId="14" fillId="6" fontId="13" numFmtId="0" xfId="0" applyAlignment="1" applyBorder="1" applyFont="1">
      <alignment shrinkToFit="0" vertical="top" wrapText="1"/>
    </xf>
    <xf borderId="4" fillId="8" fontId="7" numFmtId="0" xfId="0" applyAlignment="1" applyBorder="1" applyFont="1">
      <alignment horizontal="center" shrinkToFit="0" vertical="center" wrapText="1"/>
    </xf>
    <xf borderId="4" fillId="8" fontId="12" numFmtId="165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shrinkToFit="0" vertical="center" wrapText="1"/>
    </xf>
    <xf borderId="4" fillId="3" fontId="13" numFmtId="0" xfId="0" applyAlignment="1" applyBorder="1" applyFont="1">
      <alignment shrinkToFit="0" vertical="top" wrapText="1"/>
    </xf>
    <xf borderId="4" fillId="3" fontId="13" numFmtId="164" xfId="0" applyAlignment="1" applyBorder="1" applyFont="1" applyNumberFormat="1">
      <alignment shrinkToFit="0" vertical="top" wrapText="1"/>
    </xf>
    <xf borderId="4" fillId="6" fontId="13" numFmtId="0" xfId="0" applyAlignment="1" applyBorder="1" applyFont="1">
      <alignment horizontal="center" shrinkToFit="0" vertical="center" wrapText="1"/>
    </xf>
    <xf borderId="4" fillId="6" fontId="13" numFmtId="1" xfId="0" applyAlignment="1" applyBorder="1" applyFont="1" applyNumberFormat="1">
      <alignment horizontal="center" shrinkToFit="0" vertical="center" wrapText="1"/>
    </xf>
    <xf borderId="4" fillId="6" fontId="13" numFmtId="0" xfId="0" applyAlignment="1" applyBorder="1" applyFont="1">
      <alignment shrinkToFit="0" vertical="top" wrapText="1"/>
    </xf>
    <xf borderId="15" fillId="8" fontId="7" numFmtId="0" xfId="0" applyAlignment="1" applyBorder="1" applyFont="1">
      <alignment horizontal="center" shrinkToFit="0" vertical="center" wrapText="1"/>
    </xf>
    <xf borderId="15" fillId="8" fontId="12" numFmtId="165" xfId="0" applyAlignment="1" applyBorder="1" applyFont="1" applyNumberFormat="1">
      <alignment horizontal="center"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6" fontId="14" numFmtId="0" xfId="0" applyAlignment="1" applyBorder="1" applyFont="1">
      <alignment shrinkToFit="0" vertical="top" wrapText="1"/>
    </xf>
    <xf borderId="15" fillId="6" fontId="14" numFmtId="164" xfId="0" applyAlignment="1" applyBorder="1" applyFont="1" applyNumberFormat="1">
      <alignment shrinkToFit="0" vertical="top" wrapText="1"/>
    </xf>
    <xf borderId="14" fillId="10" fontId="7" numFmtId="0" xfId="0" applyAlignment="1" applyBorder="1" applyFont="1">
      <alignment horizontal="center" shrinkToFit="0" vertical="center" wrapText="1"/>
    </xf>
    <xf borderId="14" fillId="10" fontId="12" numFmtId="165" xfId="0" applyAlignment="1" applyBorder="1" applyFont="1" applyNumberFormat="1">
      <alignment horizontal="center" shrinkToFit="0" vertical="center" wrapText="1"/>
    </xf>
    <xf borderId="14" fillId="9" fontId="6" numFmtId="0" xfId="0" applyAlignment="1" applyBorder="1" applyFont="1">
      <alignment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12" numFmtId="165" xfId="0" applyAlignment="1" applyBorder="1" applyFont="1" applyNumberFormat="1">
      <alignment horizontal="center" shrinkToFit="0" vertical="center" wrapText="1"/>
    </xf>
    <xf borderId="4" fillId="9" fontId="6" numFmtId="0" xfId="0" applyAlignment="1" applyBorder="1" applyFont="1">
      <alignment shrinkToFit="0" vertical="center" wrapText="1"/>
    </xf>
    <xf borderId="15" fillId="10" fontId="7" numFmtId="0" xfId="0" applyAlignment="1" applyBorder="1" applyFont="1">
      <alignment horizontal="center" shrinkToFit="0" vertical="center" wrapText="1"/>
    </xf>
    <xf borderId="15" fillId="10" fontId="12" numFmtId="165" xfId="0" applyAlignment="1" applyBorder="1" applyFont="1" applyNumberFormat="1">
      <alignment horizontal="center" shrinkToFit="0" vertical="center" wrapText="1"/>
    </xf>
    <xf borderId="15" fillId="9" fontId="6" numFmtId="0" xfId="0" applyAlignment="1" applyBorder="1" applyFont="1">
      <alignment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4" fillId="12" fontId="12" numFmtId="165" xfId="0" applyAlignment="1" applyBorder="1" applyFont="1" applyNumberFormat="1">
      <alignment horizontal="center" shrinkToFit="0" vertical="center" wrapText="1"/>
    </xf>
    <xf borderId="4" fillId="11" fontId="6" numFmtId="0" xfId="0" applyAlignment="1" applyBorder="1" applyFont="1">
      <alignment shrinkToFit="0" vertical="center" wrapText="1"/>
    </xf>
    <xf borderId="15" fillId="12" fontId="7" numFmtId="0" xfId="0" applyAlignment="1" applyBorder="1" applyFont="1">
      <alignment horizontal="center" shrinkToFit="0" vertical="center" wrapText="1"/>
    </xf>
    <xf borderId="15" fillId="12" fontId="12" numFmtId="165" xfId="0" applyAlignment="1" applyBorder="1" applyFont="1" applyNumberFormat="1">
      <alignment horizontal="center" shrinkToFit="0" vertical="center" wrapText="1"/>
    </xf>
    <xf borderId="15" fillId="11" fontId="6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12" numFmtId="165" xfId="0" applyAlignment="1" applyBorder="1" applyFont="1" applyNumberFormat="1">
      <alignment horizontal="center" shrinkToFit="0" vertical="center" wrapText="1"/>
    </xf>
    <xf borderId="4" fillId="13" fontId="6" numFmtId="0" xfId="0" applyAlignment="1" applyBorder="1" applyFont="1">
      <alignment shrinkToFit="0" vertical="center" wrapText="1"/>
    </xf>
    <xf borderId="14" fillId="6" fontId="7" numFmtId="0" xfId="0" applyAlignment="1" applyBorder="1" applyFont="1">
      <alignment horizontal="center" shrinkToFit="0" vertical="center" wrapText="1"/>
    </xf>
    <xf borderId="14" fillId="6" fontId="12" numFmtId="165" xfId="0" applyAlignment="1" applyBorder="1" applyFont="1" applyNumberFormat="1">
      <alignment horizontal="center" shrinkToFit="0" vertical="center" wrapText="1"/>
    </xf>
    <xf borderId="14" fillId="13" fontId="6" numFmtId="0" xfId="0" applyAlignment="1" applyBorder="1" applyFont="1">
      <alignment shrinkToFit="0" vertical="center" wrapText="1"/>
    </xf>
    <xf borderId="15" fillId="7" fontId="7" numFmtId="0" xfId="0" applyAlignment="1" applyBorder="1" applyFont="1">
      <alignment horizontal="center" shrinkToFit="0" vertical="center" wrapText="1"/>
    </xf>
    <xf borderId="15" fillId="7" fontId="12" numFmtId="165" xfId="0" applyAlignment="1" applyBorder="1" applyFont="1" applyNumberFormat="1">
      <alignment horizontal="center" shrinkToFit="0" vertical="center" wrapText="1"/>
    </xf>
    <xf borderId="15" fillId="2" fontId="6" numFmtId="0" xfId="0" applyAlignment="1" applyBorder="1" applyFont="1">
      <alignment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7" fontId="12" numFmtId="165" xfId="0" applyAlignment="1" applyBorder="1" applyFont="1" applyNumberFormat="1">
      <alignment horizontal="center" shrinkToFit="0" vertical="center" wrapText="1"/>
    </xf>
    <xf borderId="16" fillId="2" fontId="6" numFmtId="0" xfId="0" applyAlignment="1" applyBorder="1" applyFont="1">
      <alignment shrinkToFit="0" vertical="center" wrapText="1"/>
    </xf>
    <xf borderId="16" fillId="6" fontId="14" numFmtId="0" xfId="0" applyAlignment="1" applyBorder="1" applyFont="1">
      <alignment shrinkToFit="0" vertical="top" wrapText="1"/>
    </xf>
    <xf borderId="16" fillId="6" fontId="14" numFmtId="164" xfId="0" applyAlignment="1" applyBorder="1" applyFont="1" applyNumberFormat="1">
      <alignment shrinkToFit="0" vertical="top" wrapText="1"/>
    </xf>
    <xf borderId="16" fillId="6" fontId="13" numFmtId="0" xfId="0" applyAlignment="1" applyBorder="1" applyFont="1">
      <alignment horizontal="center" shrinkToFit="0" vertical="center" wrapText="1"/>
    </xf>
    <xf borderId="16" fillId="6" fontId="13" numFmtId="1" xfId="0" applyAlignment="1" applyBorder="1" applyFont="1" applyNumberFormat="1">
      <alignment horizontal="center" shrinkToFit="0" vertical="center" wrapText="1"/>
    </xf>
    <xf borderId="16" fillId="6" fontId="13" numFmtId="0" xfId="0" applyAlignment="1" applyBorder="1" applyFont="1">
      <alignment shrinkToFit="0" vertical="top" wrapText="1"/>
    </xf>
    <xf borderId="5" fillId="6" fontId="13" numFmtId="0" xfId="0" applyAlignment="1" applyBorder="1" applyFont="1">
      <alignment horizontal="center" shrinkToFit="0" vertical="center" wrapText="1"/>
    </xf>
    <xf borderId="5" fillId="6" fontId="13" numFmtId="1" xfId="0" applyAlignment="1" applyBorder="1" applyFont="1" applyNumberFormat="1">
      <alignment horizontal="center" shrinkToFit="0" vertical="center" wrapText="1"/>
    </xf>
    <xf borderId="5" fillId="6" fontId="13" numFmtId="0" xfId="0" applyAlignment="1" applyBorder="1" applyFont="1">
      <alignment shrinkToFit="0" vertical="top" wrapText="1"/>
    </xf>
    <xf borderId="17" fillId="4" fontId="5" numFmtId="0" xfId="0" applyAlignment="1" applyBorder="1" applyFont="1">
      <alignment shrinkToFit="0" vertical="top" wrapText="1"/>
    </xf>
    <xf borderId="17" fillId="8" fontId="13" numFmtId="0" xfId="0" applyAlignment="1" applyBorder="1" applyFont="1">
      <alignment shrinkToFit="0" vertical="top" wrapText="1"/>
    </xf>
    <xf borderId="17" fillId="8" fontId="14" numFmtId="0" xfId="0" applyAlignment="1" applyBorder="1" applyFont="1">
      <alignment horizontal="center" shrinkToFit="0" vertical="center" wrapText="1"/>
    </xf>
    <xf borderId="17" fillId="6" fontId="13" numFmtId="0" xfId="0" applyAlignment="1" applyBorder="1" applyFont="1">
      <alignment horizontal="center" shrinkToFit="0" vertical="center" wrapText="1"/>
    </xf>
    <xf borderId="18" fillId="9" fontId="5" numFmtId="0" xfId="0" applyAlignment="1" applyBorder="1" applyFont="1">
      <alignment shrinkToFit="0" vertical="top" wrapText="1"/>
    </xf>
    <xf borderId="18" fillId="10" fontId="13" numFmtId="0" xfId="0" applyAlignment="1" applyBorder="1" applyFont="1">
      <alignment shrinkToFit="0" vertical="top" wrapText="1"/>
    </xf>
    <xf borderId="18" fillId="10" fontId="14" numFmtId="0" xfId="0" applyAlignment="1" applyBorder="1" applyFont="1">
      <alignment horizontal="center" shrinkToFit="0" vertical="center" wrapText="1"/>
    </xf>
    <xf borderId="18" fillId="6" fontId="13" numFmtId="0" xfId="0" applyAlignment="1" applyBorder="1" applyFont="1">
      <alignment horizontal="center" shrinkToFit="0" vertical="center" wrapText="1"/>
    </xf>
    <xf borderId="18" fillId="11" fontId="5" numFmtId="0" xfId="0" applyAlignment="1" applyBorder="1" applyFont="1">
      <alignment shrinkToFit="0" vertical="top" wrapText="1"/>
    </xf>
    <xf borderId="18" fillId="12" fontId="13" numFmtId="0" xfId="0" applyAlignment="1" applyBorder="1" applyFont="1">
      <alignment shrinkToFit="0" vertical="top" wrapText="1"/>
    </xf>
    <xf borderId="18" fillId="12" fontId="14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shrinkToFit="0" vertical="top" wrapText="1"/>
    </xf>
    <xf borderId="18" fillId="7" fontId="13" numFmtId="0" xfId="0" applyAlignment="1" applyBorder="1" applyFont="1">
      <alignment shrinkToFit="0" vertical="top" wrapText="1"/>
    </xf>
    <xf borderId="18" fillId="7" fontId="14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shrinkToFit="0" vertical="top" wrapText="1"/>
    </xf>
    <xf borderId="2" fillId="7" fontId="14" numFmtId="0" xfId="0" applyAlignment="1" applyBorder="1" applyFont="1">
      <alignment horizontal="center" shrinkToFit="0" vertical="center" wrapText="1"/>
    </xf>
    <xf borderId="2" fillId="6" fontId="14" numFmtId="0" xfId="0" applyAlignment="1" applyBorder="1" applyFont="1">
      <alignment horizontal="center" shrinkToFit="0" vertical="center" wrapText="1"/>
    </xf>
    <xf borderId="2" fillId="14" fontId="14" numFmtId="0" xfId="0" applyAlignment="1" applyBorder="1" applyFill="1" applyFont="1">
      <alignment horizontal="center" shrinkToFit="0" vertical="center" wrapText="1"/>
    </xf>
    <xf borderId="2" fillId="6" fontId="13" numFmtId="0" xfId="0" applyAlignment="1" applyBorder="1" applyFont="1">
      <alignment shrinkToFit="0" vertical="top" wrapText="1"/>
    </xf>
    <xf borderId="4" fillId="5" fontId="14" numFmtId="0" xfId="0" applyAlignment="1" applyBorder="1" applyFont="1">
      <alignment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shrinkToFit="0" vertical="center" wrapText="1"/>
    </xf>
    <xf borderId="5" fillId="3" fontId="13" numFmtId="0" xfId="0" applyAlignment="1" applyBorder="1" applyFont="1">
      <alignment shrinkToFit="0" vertical="top" wrapText="1"/>
    </xf>
    <xf borderId="5" fillId="7" fontId="14" numFmtId="0" xfId="0" applyAlignment="1" applyBorder="1" applyFont="1">
      <alignment horizontal="center" shrinkToFit="0" vertical="center" wrapText="1"/>
    </xf>
    <xf borderId="5" fillId="6" fontId="14" numFmtId="0" xfId="0" applyAlignment="1" applyBorder="1" applyFont="1">
      <alignment horizontal="center" shrinkToFit="0" vertical="center" wrapText="1"/>
    </xf>
    <xf borderId="5" fillId="14" fontId="14" numFmtId="0" xfId="0" applyAlignment="1" applyBorder="1" applyFont="1">
      <alignment horizontal="center" shrinkToFit="0" vertical="center" wrapText="1"/>
    </xf>
    <xf borderId="2" fillId="15" fontId="14" numFmtId="0" xfId="0" applyAlignment="1" applyBorder="1" applyFill="1" applyFont="1">
      <alignment shrinkToFit="0" vertical="top" wrapText="1"/>
    </xf>
    <xf borderId="2" fillId="7" fontId="15" numFmtId="0" xfId="0" applyAlignment="1" applyBorder="1" applyFont="1">
      <alignment shrinkToFit="0" vertical="top" wrapText="1"/>
    </xf>
    <xf borderId="4" fillId="15" fontId="14" numFmtId="0" xfId="0" applyAlignment="1" applyBorder="1" applyFont="1">
      <alignment shrinkToFit="0" vertical="top" wrapText="1"/>
    </xf>
    <xf borderId="4" fillId="7" fontId="15" numFmtId="0" xfId="0" applyAlignment="1" applyBorder="1" applyFont="1">
      <alignment shrinkToFit="0" vertical="top" wrapText="1"/>
    </xf>
    <xf borderId="5" fillId="15" fontId="14" numFmtId="0" xfId="0" applyAlignment="1" applyBorder="1" applyFont="1">
      <alignment shrinkToFit="0" vertical="top" wrapText="1"/>
    </xf>
    <xf borderId="5" fillId="7" fontId="15" numFmtId="0" xfId="0" applyAlignment="1" applyBorder="1" applyFont="1">
      <alignment shrinkToFit="0" vertical="top" wrapText="1"/>
    </xf>
    <xf borderId="2" fillId="2" fontId="5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shrinkToFit="0" vertical="top" wrapText="1"/>
    </xf>
    <xf borderId="2" fillId="7" fontId="16" numFmtId="0" xfId="0" applyAlignment="1" applyBorder="1" applyFont="1">
      <alignment shrinkToFit="0" vertical="top" wrapText="1"/>
    </xf>
    <xf borderId="2" fillId="15" fontId="1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shrinkToFit="0" vertical="top" wrapText="1"/>
    </xf>
    <xf borderId="4" fillId="7" fontId="16" numFmtId="0" xfId="0" applyAlignment="1" applyBorder="1" applyFont="1">
      <alignment shrinkToFit="0" vertical="top" wrapText="1"/>
    </xf>
    <xf borderId="4" fillId="15" fontId="1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shrinkToFit="0" vertical="top" wrapText="1"/>
    </xf>
    <xf borderId="5" fillId="7" fontId="16" numFmtId="0" xfId="0" applyAlignment="1" applyBorder="1" applyFont="1">
      <alignment shrinkToFit="0" vertical="top" wrapText="1"/>
    </xf>
    <xf borderId="5" fillId="1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b/>
        <color rgb="FF15803D"/>
      </font>
      <fill>
        <patternFill patternType="solid">
          <fgColor rgb="FFEAF6EE"/>
          <bgColor rgb="FFEAF6EE"/>
        </patternFill>
      </fill>
      <border/>
    </dxf>
    <dxf>
      <font>
        <b/>
        <color rgb="FFB42318"/>
      </font>
      <fill>
        <patternFill patternType="solid">
          <fgColor rgb="FFFCEDEA"/>
          <bgColor rgb="FFFCEDEA"/>
        </patternFill>
      </fill>
      <border/>
    </dxf>
    <dxf>
      <font>
        <b/>
        <color rgb="FF2F6BFF"/>
      </font>
      <fill>
        <patternFill patternType="solid">
          <fgColor rgb="FFEEF4FF"/>
          <bgColor rgb="FFEEF4FF"/>
        </patternFill>
      </fill>
      <border/>
    </dxf>
    <dxf>
      <font>
        <b/>
        <color rgb="FF8A5B00"/>
      </font>
      <fill>
        <patternFill patternType="solid">
          <fgColor rgb="FFFFF7E1"/>
          <bgColor rgb="FFFFF7E1"/>
        </patternFill>
      </fill>
      <border/>
    </dxf>
  </dxfs>
  <tableStyles count="6">
    <tableStyle count="3" pivot="0" name="30-Day Plan-style">
      <tableStyleElement dxfId="1" type="headerRow"/>
      <tableStyleElement dxfId="2" type="firstRowStripe"/>
      <tableStyleElement dxfId="1" type="secondRowStripe"/>
    </tableStyle>
    <tableStyle count="3" pivot="0" name="Portfolio Projects-style">
      <tableStyleElement dxfId="1" type="headerRow"/>
      <tableStyleElement dxfId="2" type="firstRowStripe"/>
      <tableStyleElement dxfId="1" type="secondRowStripe"/>
    </tableStyle>
    <tableStyle count="3" pivot="0" name="Skills Tracker-style">
      <tableStyleElement dxfId="1" type="headerRow"/>
      <tableStyleElement dxfId="2" type="firstRowStripe"/>
      <tableStyleElement dxfId="1" type="secondRowStripe"/>
    </tableStyle>
    <tableStyle count="3" pivot="0" name="Compliance-style">
      <tableStyleElement dxfId="1" type="headerRow"/>
      <tableStyleElement dxfId="2" type="firstRowStripe"/>
      <tableStyleElement dxfId="1" type="secondRowStripe"/>
    </tableStyle>
    <tableStyle count="3" pivot="0" name="Interview Prep-style">
      <tableStyleElement dxfId="1" type="headerRow"/>
      <tableStyleElement dxfId="2" type="firstRowStripe"/>
      <tableStyleElement dxfId="1" type="secondRowStripe"/>
    </tableStyle>
    <tableStyle count="3" pivot="0" name="Resource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M34" displayName="Table_1" name="Table_1" id="1">
  <tableColumns count="13">
    <tableColumn name="Day" id="1"/>
    <tableColumn name="Planned Date" id="2"/>
    <tableColumn name="Phase" id="3"/>
    <tableColumn name="Main Focus" id="4"/>
    <tableColumn name="Learning Outcome" id="5"/>
    <tableColumn name="Study / Learn" id="6"/>
    <tableColumn name="Hands-On Build" id="7"/>
    <tableColumn name="Daily Deliverable" id="8"/>
    <tableColumn name="Primary Tools" id="9"/>
    <tableColumn name="Hours" id="10"/>
    <tableColumn name="Status" id="11"/>
    <tableColumn name="Quiz %" id="12"/>
    <tableColumn name="Notes / Evidence Link" id="13"/>
  </tableColumns>
  <tableStyleInfo name="30-Day Plan-style" showColumnStripes="0" showFirstColumn="1" showLastColumn="1" showRowStripes="1"/>
</table>
</file>

<file path=xl/tables/table2.xml><?xml version="1.0" encoding="utf-8"?>
<table xmlns="http://schemas.openxmlformats.org/spreadsheetml/2006/main" ref="A4:H8" displayName="Table_2" name="Table_2" id="2">
  <tableColumns count="8">
    <tableColumn name="Project" id="1"/>
    <tableColumn name="Business Problem" id="2"/>
    <tableColumn name="Core Workflow" id="3"/>
    <tableColumn name="Required Controls" id="4"/>
    <tableColumn name="Proof / Deliverables" id="5"/>
    <tableColumn name="Success Metrics" id="6"/>
    <tableColumn name="Target Day" id="7"/>
    <tableColumn name="Status" id="8"/>
  </tableColumns>
  <tableStyleInfo name="Portfolio Projects-style" showColumnStripes="0" showFirstColumn="1" showLastColumn="1" showRowStripes="1"/>
</table>
</file>

<file path=xl/tables/table3.xml><?xml version="1.0" encoding="utf-8"?>
<table xmlns="http://schemas.openxmlformats.org/spreadsheetml/2006/main" ref="A4:H18" displayName="Table_3" name="Table_3" id="3">
  <tableColumns count="8">
    <tableColumn name="Category" id="1"/>
    <tableColumn name="Skill" id="2"/>
    <tableColumn name="Target Level" id="3"/>
    <tableColumn name="Current Level" id="4"/>
    <tableColumn name="Gap" id="5"/>
    <tableColumn name="Evidence Required" id="6"/>
    <tableColumn name="Best Practice Days" id="7"/>
    <tableColumn name="Evidence / Link" id="8"/>
  </tableColumns>
  <tableStyleInfo name="Skills Tracker-style" showColumnStripes="0" showFirstColumn="1" showLastColumn="1" showRowStripes="1"/>
</table>
</file>

<file path=xl/tables/table4.xml><?xml version="1.0" encoding="utf-8"?>
<table xmlns="http://schemas.openxmlformats.org/spreadsheetml/2006/main" ref="A4:G14" displayName="Table_4" name="Table_4" id="4">
  <tableColumns count="7">
    <tableColumn name="Area" id="1"/>
    <tableColumn name="Question Before Launch" id="2"/>
    <tableColumn name="Expected Control" id="3"/>
    <tableColumn name="Evidence" id="4"/>
    <tableColumn name="Owner" id="5"/>
    <tableColumn name="Status" id="6"/>
    <tableColumn name="Official Source" id="7"/>
  </tableColumns>
  <tableStyleInfo name="Compliance-style" showColumnStripes="0" showFirstColumn="1" showLastColumn="1" showRowStripes="1"/>
</table>
</file>

<file path=xl/tables/table5.xml><?xml version="1.0" encoding="utf-8"?>
<table xmlns="http://schemas.openxmlformats.org/spreadsheetml/2006/main" ref="A4:F19" displayName="Table_5" name="Table_5" id="5">
  <tableColumns count="6">
    <tableColumn name="#" id="1"/>
    <tableColumn name="Interview Question" id="2"/>
    <tableColumn name="A Strong Answer Must Include" id="3"/>
    <tableColumn name="Your Answer Notes" id="4"/>
    <tableColumn name="Evidence / Project" id="5"/>
    <tableColumn name="Confidence (1–5)" id="6"/>
  </tableColumns>
  <tableStyleInfo name="Interview Prep-style" showColumnStripes="0" showFirstColumn="1" showLastColumn="1" showRowStripes="1"/>
</table>
</file>

<file path=xl/tables/table6.xml><?xml version="1.0" encoding="utf-8"?>
<table xmlns="http://schemas.openxmlformats.org/spreadsheetml/2006/main" ref="A4:E20" displayName="Table_6" name="Table_6" id="6">
  <tableColumns count="5">
    <tableColumn name="Topic" id="1"/>
    <tableColumn name="Resource" id="2"/>
    <tableColumn name="Why It Matters" id="3"/>
    <tableColumn name="Use On Day" id="4"/>
    <tableColumn name="URL" id="5"/>
  </tableColumns>
  <tableStyleInfo name="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0"/>
    <col customWidth="1" min="3" max="3" width="16.0"/>
    <col customWidth="1" min="4" max="7" width="15.0"/>
    <col customWidth="1" min="8" max="8" width="20.0"/>
    <col customWidth="1" min="9" max="26" width="8.6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</row>
    <row r="2" ht="31.5" customHeight="1">
      <c r="A2" s="3" t="s">
        <v>1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>
      <c r="A4" s="6" t="s">
        <v>2</v>
      </c>
      <c r="B4" s="7"/>
      <c r="C4" s="7"/>
      <c r="D4" s="8" t="s">
        <v>3</v>
      </c>
      <c r="F4" s="8" t="s">
        <v>4</v>
      </c>
    </row>
    <row r="5" ht="31.5" customHeight="1">
      <c r="A5" s="9" t="s">
        <v>5</v>
      </c>
      <c r="B5" s="4"/>
      <c r="C5" s="10">
        <v>3.0</v>
      </c>
      <c r="D5" s="11">
        <f>COUNTIF('30-Day Plan'!$K$5:$K$34,"Completed")</f>
        <v>0</v>
      </c>
      <c r="E5" s="4"/>
      <c r="F5" s="12">
        <f>COUNTIF('30-Day Plan'!$K$5:$K$34,"Completed")/COUNTA('30-Day Plan'!$A$5:$A$34)</f>
        <v>0</v>
      </c>
      <c r="G5" s="4"/>
      <c r="H5" s="4"/>
    </row>
    <row r="6" ht="28.5" customHeight="1">
      <c r="A6" s="13" t="s">
        <v>6</v>
      </c>
      <c r="B6" s="14"/>
      <c r="C6" s="15"/>
      <c r="D6" s="8" t="s">
        <v>7</v>
      </c>
      <c r="F6" s="8" t="s">
        <v>8</v>
      </c>
    </row>
    <row r="7" ht="31.5" customHeight="1">
      <c r="A7" s="16" t="s">
        <v>9</v>
      </c>
      <c r="B7" s="17"/>
      <c r="C7" s="18" t="s">
        <v>10</v>
      </c>
      <c r="D7" s="11">
        <f>SUM('30-Day Plan'!$J$5:$J$34)</f>
        <v>90</v>
      </c>
      <c r="E7" s="4"/>
      <c r="F7" s="12">
        <f>IFERROR(AVERAGE('30-Day Plan'!$L$5:$L$34)/100,0)</f>
        <v>0</v>
      </c>
      <c r="G7" s="4"/>
      <c r="H7" s="4"/>
    </row>
    <row r="8">
      <c r="A8" s="5"/>
      <c r="B8" s="5"/>
      <c r="C8" s="5"/>
      <c r="D8" s="5"/>
      <c r="E8" s="5"/>
      <c r="F8" s="5"/>
      <c r="G8" s="5"/>
      <c r="H8" s="5"/>
    </row>
    <row r="9">
      <c r="A9" s="19" t="s">
        <v>11</v>
      </c>
      <c r="B9" s="20"/>
      <c r="C9" s="20"/>
      <c r="D9" s="20"/>
      <c r="E9" s="20"/>
      <c r="F9" s="20"/>
      <c r="G9" s="20"/>
      <c r="H9" s="20"/>
    </row>
    <row r="10" ht="33.75" customHeight="1">
      <c r="A10" s="21" t="s">
        <v>12</v>
      </c>
      <c r="B10" s="4"/>
      <c r="C10" s="22" t="s">
        <v>13</v>
      </c>
      <c r="D10" s="23" t="s">
        <v>14</v>
      </c>
      <c r="E10" s="4"/>
      <c r="F10" s="4"/>
      <c r="G10" s="4"/>
      <c r="H10" s="4"/>
    </row>
    <row r="11" ht="33.75" customHeight="1">
      <c r="A11" s="24" t="s">
        <v>15</v>
      </c>
      <c r="B11" s="4"/>
      <c r="C11" s="25" t="s">
        <v>16</v>
      </c>
      <c r="D11" s="26" t="s">
        <v>17</v>
      </c>
      <c r="E11" s="4"/>
      <c r="F11" s="4"/>
      <c r="G11" s="4"/>
      <c r="H11" s="4"/>
    </row>
    <row r="12" ht="33.75" customHeight="1">
      <c r="A12" s="27" t="s">
        <v>18</v>
      </c>
      <c r="B12" s="4"/>
      <c r="C12" s="28" t="s">
        <v>19</v>
      </c>
      <c r="D12" s="29" t="s">
        <v>20</v>
      </c>
      <c r="E12" s="4"/>
      <c r="F12" s="4"/>
      <c r="G12" s="4"/>
      <c r="H12" s="4"/>
    </row>
    <row r="13" ht="33.75" customHeight="1">
      <c r="A13" s="30" t="s">
        <v>21</v>
      </c>
      <c r="B13" s="4"/>
      <c r="C13" s="31" t="s">
        <v>22</v>
      </c>
      <c r="D13" s="32" t="s">
        <v>23</v>
      </c>
      <c r="E13" s="4"/>
      <c r="F13" s="4"/>
      <c r="G13" s="4"/>
      <c r="H13" s="4"/>
    </row>
    <row r="14" ht="33.75" customHeight="1">
      <c r="A14" s="33" t="s">
        <v>24</v>
      </c>
      <c r="B14" s="4"/>
      <c r="C14" s="34" t="s">
        <v>25</v>
      </c>
      <c r="D14" s="35" t="s">
        <v>26</v>
      </c>
      <c r="E14" s="4"/>
      <c r="F14" s="4"/>
      <c r="G14" s="4"/>
      <c r="H14" s="4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36" t="s">
        <v>27</v>
      </c>
    </row>
    <row r="17" ht="25.5" customHeight="1">
      <c r="A17" s="8" t="s">
        <v>28</v>
      </c>
      <c r="D17" s="8" t="s">
        <v>29</v>
      </c>
      <c r="G17" s="8" t="s">
        <v>30</v>
      </c>
    </row>
    <row r="18" ht="27.75" customHeight="1">
      <c r="A18" s="37" t="s">
        <v>31</v>
      </c>
      <c r="B18" s="17"/>
      <c r="C18" s="38"/>
      <c r="D18" s="37" t="s">
        <v>32</v>
      </c>
      <c r="E18" s="17"/>
      <c r="F18" s="38"/>
      <c r="G18" s="37" t="s">
        <v>33</v>
      </c>
      <c r="H18" s="38"/>
    </row>
    <row r="19" ht="27.75" customHeight="1">
      <c r="A19" s="39"/>
      <c r="B19" s="4"/>
      <c r="C19" s="40"/>
      <c r="D19" s="39"/>
      <c r="E19" s="4"/>
      <c r="F19" s="40"/>
      <c r="G19" s="39"/>
      <c r="H19" s="40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41" t="s">
        <v>34</v>
      </c>
    </row>
    <row r="22" ht="24.75" customHeight="1">
      <c r="A22" s="42" t="s">
        <v>35</v>
      </c>
      <c r="B22" s="4"/>
      <c r="C22" s="4"/>
      <c r="D22" s="4"/>
      <c r="E22" s="4"/>
      <c r="F22" s="4"/>
      <c r="G22" s="4"/>
      <c r="H22" s="4"/>
    </row>
    <row r="23" ht="24.75" customHeight="1">
      <c r="A23" s="43" t="s">
        <v>36</v>
      </c>
      <c r="B23" s="4"/>
      <c r="C23" s="4"/>
      <c r="D23" s="4"/>
      <c r="E23" s="4"/>
      <c r="F23" s="4"/>
      <c r="G23" s="4"/>
      <c r="H23" s="4"/>
    </row>
    <row r="24" ht="24.75" customHeight="1">
      <c r="A24" s="42" t="s">
        <v>37</v>
      </c>
      <c r="B24" s="4"/>
      <c r="C24" s="4"/>
      <c r="D24" s="4"/>
      <c r="E24" s="4"/>
      <c r="F24" s="4"/>
      <c r="G24" s="4"/>
      <c r="H24" s="4"/>
    </row>
    <row r="25" ht="24.75" customHeight="1">
      <c r="A25" s="43" t="s">
        <v>38</v>
      </c>
      <c r="B25" s="4"/>
      <c r="C25" s="4"/>
      <c r="D25" s="4"/>
      <c r="E25" s="4"/>
      <c r="F25" s="4"/>
      <c r="G25" s="4"/>
      <c r="H25" s="4"/>
    </row>
    <row r="26" ht="24.75" customHeight="1">
      <c r="A26" s="42" t="s">
        <v>39</v>
      </c>
      <c r="B26" s="4"/>
      <c r="C26" s="4"/>
      <c r="D26" s="4"/>
      <c r="E26" s="4"/>
      <c r="F26" s="4"/>
      <c r="G26" s="4"/>
      <c r="H26" s="4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25.5" customHeight="1">
      <c r="A28" s="44" t="s">
        <v>40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H1"/>
    <mergeCell ref="A2:H2"/>
    <mergeCell ref="A4:C4"/>
    <mergeCell ref="D4:E4"/>
    <mergeCell ref="F4:H4"/>
    <mergeCell ref="D5:E5"/>
    <mergeCell ref="F5:H5"/>
    <mergeCell ref="A7:B7"/>
    <mergeCell ref="A10:B10"/>
    <mergeCell ref="A11:B11"/>
    <mergeCell ref="A12:B12"/>
    <mergeCell ref="A13:B13"/>
    <mergeCell ref="A14:B14"/>
    <mergeCell ref="A5:B5"/>
    <mergeCell ref="A6:B6"/>
    <mergeCell ref="D6:E6"/>
    <mergeCell ref="F6:H6"/>
    <mergeCell ref="D7:E7"/>
    <mergeCell ref="F7:H7"/>
    <mergeCell ref="A9:H9"/>
    <mergeCell ref="D17:F17"/>
    <mergeCell ref="G17:H17"/>
    <mergeCell ref="D10:H10"/>
    <mergeCell ref="D11:H11"/>
    <mergeCell ref="D12:H12"/>
    <mergeCell ref="D13:H13"/>
    <mergeCell ref="D14:H14"/>
    <mergeCell ref="A16:H16"/>
    <mergeCell ref="A17:C17"/>
    <mergeCell ref="A25:H25"/>
    <mergeCell ref="A26:H26"/>
    <mergeCell ref="A28:H28"/>
    <mergeCell ref="A18:C19"/>
    <mergeCell ref="D18:F19"/>
    <mergeCell ref="G18:H19"/>
    <mergeCell ref="A21:H21"/>
    <mergeCell ref="A22:H22"/>
    <mergeCell ref="A23:H23"/>
    <mergeCell ref="A24:H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4.0"/>
    <col customWidth="1" min="3" max="3" width="22.0"/>
    <col customWidth="1" min="4" max="4" width="25.0"/>
    <col customWidth="1" min="5" max="5" width="34.0"/>
    <col customWidth="1" min="6" max="6" width="40.0"/>
    <col customWidth="1" min="7" max="7" width="44.0"/>
    <col customWidth="1" min="8" max="8" width="34.0"/>
    <col customWidth="1" min="9" max="9" width="24.0"/>
    <col customWidth="1" min="10" max="10" width="9.0"/>
    <col customWidth="1" min="11" max="11" width="14.0"/>
    <col customWidth="1" min="12" max="12" width="10.0"/>
    <col customWidth="1" min="13" max="13" width="30.0"/>
    <col customWidth="1" min="14" max="26" width="8.63"/>
  </cols>
  <sheetData>
    <row r="1" ht="42.0" customHeight="1">
      <c r="A1" s="45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1.5" customHeight="1">
      <c r="A2" s="3" t="s">
        <v>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33.75" customHeight="1">
      <c r="A4" s="46" t="s">
        <v>43</v>
      </c>
      <c r="B4" s="47" t="s">
        <v>44</v>
      </c>
      <c r="C4" s="47" t="s">
        <v>45</v>
      </c>
      <c r="D4" s="47" t="s">
        <v>46</v>
      </c>
      <c r="E4" s="47" t="s">
        <v>47</v>
      </c>
      <c r="F4" s="47" t="s">
        <v>48</v>
      </c>
      <c r="G4" s="47" t="s">
        <v>49</v>
      </c>
      <c r="H4" s="47" t="s">
        <v>50</v>
      </c>
      <c r="I4" s="47" t="s">
        <v>51</v>
      </c>
      <c r="J4" s="47" t="s">
        <v>52</v>
      </c>
      <c r="K4" s="47" t="s">
        <v>53</v>
      </c>
      <c r="L4" s="47" t="s">
        <v>54</v>
      </c>
      <c r="M4" s="48" t="s">
        <v>55</v>
      </c>
    </row>
    <row r="5" ht="81.75" customHeight="1">
      <c r="A5" s="49">
        <v>1.0</v>
      </c>
      <c r="B5" s="50" t="str">
        <f>IF('Start Here'!$C$6="","",'Start Here'!$C$6+A5-1)</f>
        <v/>
      </c>
      <c r="C5" s="51" t="s">
        <v>56</v>
      </c>
      <c r="D5" s="52" t="s">
        <v>57</v>
      </c>
      <c r="E5" s="52" t="s">
        <v>58</v>
      </c>
      <c r="F5" s="52" t="s">
        <v>59</v>
      </c>
      <c r="G5" s="52" t="s">
        <v>60</v>
      </c>
      <c r="H5" s="52" t="s">
        <v>61</v>
      </c>
      <c r="I5" s="52" t="s">
        <v>62</v>
      </c>
      <c r="J5" s="53">
        <v>3.0</v>
      </c>
      <c r="K5" s="54" t="s">
        <v>63</v>
      </c>
      <c r="L5" s="55"/>
      <c r="M5" s="56"/>
    </row>
    <row r="6" ht="81.75" customHeight="1">
      <c r="A6" s="57">
        <v>2.0</v>
      </c>
      <c r="B6" s="58" t="str">
        <f>IF('Start Here'!$C$6="","",'Start Here'!$C$6+A6-1)</f>
        <v/>
      </c>
      <c r="C6" s="59" t="s">
        <v>56</v>
      </c>
      <c r="D6" s="60" t="s">
        <v>64</v>
      </c>
      <c r="E6" s="60" t="s">
        <v>65</v>
      </c>
      <c r="F6" s="60" t="s">
        <v>66</v>
      </c>
      <c r="G6" s="60" t="s">
        <v>67</v>
      </c>
      <c r="H6" s="60" t="s">
        <v>68</v>
      </c>
      <c r="I6" s="60" t="s">
        <v>69</v>
      </c>
      <c r="J6" s="61">
        <v>3.0</v>
      </c>
      <c r="K6" s="62" t="s">
        <v>63</v>
      </c>
      <c r="L6" s="63"/>
      <c r="M6" s="64"/>
    </row>
    <row r="7" ht="81.75" customHeight="1">
      <c r="A7" s="57">
        <v>3.0</v>
      </c>
      <c r="B7" s="58" t="str">
        <f>IF('Start Here'!$C$6="","",'Start Here'!$C$6+A7-1)</f>
        <v/>
      </c>
      <c r="C7" s="59" t="s">
        <v>56</v>
      </c>
      <c r="D7" s="60" t="s">
        <v>70</v>
      </c>
      <c r="E7" s="60" t="s">
        <v>71</v>
      </c>
      <c r="F7" s="60" t="s">
        <v>72</v>
      </c>
      <c r="G7" s="60" t="s">
        <v>73</v>
      </c>
      <c r="H7" s="60" t="s">
        <v>74</v>
      </c>
      <c r="I7" s="60" t="s">
        <v>75</v>
      </c>
      <c r="J7" s="61">
        <v>3.0</v>
      </c>
      <c r="K7" s="62" t="s">
        <v>63</v>
      </c>
      <c r="L7" s="63"/>
      <c r="M7" s="64"/>
    </row>
    <row r="8" ht="81.75" customHeight="1">
      <c r="A8" s="57">
        <v>4.0</v>
      </c>
      <c r="B8" s="58" t="str">
        <f>IF('Start Here'!$C$6="","",'Start Here'!$C$6+A8-1)</f>
        <v/>
      </c>
      <c r="C8" s="59" t="s">
        <v>56</v>
      </c>
      <c r="D8" s="60" t="s">
        <v>76</v>
      </c>
      <c r="E8" s="60" t="s">
        <v>77</v>
      </c>
      <c r="F8" s="60" t="s">
        <v>78</v>
      </c>
      <c r="G8" s="60" t="s">
        <v>79</v>
      </c>
      <c r="H8" s="60" t="s">
        <v>80</v>
      </c>
      <c r="I8" s="60" t="s">
        <v>81</v>
      </c>
      <c r="J8" s="61">
        <v>3.0</v>
      </c>
      <c r="K8" s="62" t="s">
        <v>63</v>
      </c>
      <c r="L8" s="63"/>
      <c r="M8" s="64"/>
    </row>
    <row r="9" ht="81.75" customHeight="1">
      <c r="A9" s="57">
        <v>5.0</v>
      </c>
      <c r="B9" s="58" t="str">
        <f>IF('Start Here'!$C$6="","",'Start Here'!$C$6+A9-1)</f>
        <v/>
      </c>
      <c r="C9" s="59" t="s">
        <v>56</v>
      </c>
      <c r="D9" s="60" t="s">
        <v>82</v>
      </c>
      <c r="E9" s="60" t="s">
        <v>83</v>
      </c>
      <c r="F9" s="60" t="s">
        <v>84</v>
      </c>
      <c r="G9" s="60" t="s">
        <v>85</v>
      </c>
      <c r="H9" s="60" t="s">
        <v>86</v>
      </c>
      <c r="I9" s="60" t="s">
        <v>87</v>
      </c>
      <c r="J9" s="61">
        <v>3.0</v>
      </c>
      <c r="K9" s="62" t="s">
        <v>63</v>
      </c>
      <c r="L9" s="63"/>
      <c r="M9" s="64"/>
    </row>
    <row r="10" ht="81.75" customHeight="1">
      <c r="A10" s="57">
        <v>6.0</v>
      </c>
      <c r="B10" s="58" t="str">
        <f>IF('Start Here'!$C$6="","",'Start Here'!$C$6+A10-1)</f>
        <v/>
      </c>
      <c r="C10" s="59" t="s">
        <v>56</v>
      </c>
      <c r="D10" s="60" t="s">
        <v>88</v>
      </c>
      <c r="E10" s="60" t="s">
        <v>89</v>
      </c>
      <c r="F10" s="60" t="s">
        <v>90</v>
      </c>
      <c r="G10" s="60" t="s">
        <v>91</v>
      </c>
      <c r="H10" s="60" t="s">
        <v>92</v>
      </c>
      <c r="I10" s="60" t="s">
        <v>87</v>
      </c>
      <c r="J10" s="61">
        <v>3.0</v>
      </c>
      <c r="K10" s="62" t="s">
        <v>63</v>
      </c>
      <c r="L10" s="63"/>
      <c r="M10" s="64"/>
    </row>
    <row r="11" ht="81.75" customHeight="1">
      <c r="A11" s="65">
        <v>7.0</v>
      </c>
      <c r="B11" s="66" t="str">
        <f>IF('Start Here'!$C$6="","",'Start Here'!$C$6+A11-1)</f>
        <v/>
      </c>
      <c r="C11" s="67" t="s">
        <v>56</v>
      </c>
      <c r="D11" s="68" t="s">
        <v>93</v>
      </c>
      <c r="E11" s="68" t="s">
        <v>94</v>
      </c>
      <c r="F11" s="68" t="s">
        <v>95</v>
      </c>
      <c r="G11" s="68" t="s">
        <v>96</v>
      </c>
      <c r="H11" s="68" t="s">
        <v>97</v>
      </c>
      <c r="I11" s="68" t="s">
        <v>98</v>
      </c>
      <c r="J11" s="69">
        <v>3.0</v>
      </c>
      <c r="K11" s="62" t="s">
        <v>63</v>
      </c>
      <c r="L11" s="63"/>
      <c r="M11" s="64"/>
    </row>
    <row r="12" ht="81.75" customHeight="1">
      <c r="A12" s="70">
        <v>8.0</v>
      </c>
      <c r="B12" s="71" t="str">
        <f>IF('Start Here'!$C$6="","",'Start Here'!$C$6+A12-1)</f>
        <v/>
      </c>
      <c r="C12" s="72" t="s">
        <v>99</v>
      </c>
      <c r="D12" s="52" t="s">
        <v>100</v>
      </c>
      <c r="E12" s="52" t="s">
        <v>101</v>
      </c>
      <c r="F12" s="52" t="s">
        <v>102</v>
      </c>
      <c r="G12" s="52" t="s">
        <v>103</v>
      </c>
      <c r="H12" s="52" t="s">
        <v>104</v>
      </c>
      <c r="I12" s="52" t="s">
        <v>105</v>
      </c>
      <c r="J12" s="53">
        <v>3.0</v>
      </c>
      <c r="K12" s="54" t="s">
        <v>63</v>
      </c>
      <c r="L12" s="55"/>
      <c r="M12" s="56"/>
    </row>
    <row r="13" ht="81.75" customHeight="1">
      <c r="A13" s="73">
        <v>9.0</v>
      </c>
      <c r="B13" s="74" t="str">
        <f>IF('Start Here'!$C$6="","",'Start Here'!$C$6+A13-1)</f>
        <v/>
      </c>
      <c r="C13" s="75" t="s">
        <v>99</v>
      </c>
      <c r="D13" s="60" t="s">
        <v>106</v>
      </c>
      <c r="E13" s="60" t="s">
        <v>107</v>
      </c>
      <c r="F13" s="60" t="s">
        <v>108</v>
      </c>
      <c r="G13" s="60" t="s">
        <v>109</v>
      </c>
      <c r="H13" s="60" t="s">
        <v>110</v>
      </c>
      <c r="I13" s="60" t="s">
        <v>111</v>
      </c>
      <c r="J13" s="61">
        <v>3.0</v>
      </c>
      <c r="K13" s="62" t="s">
        <v>63</v>
      </c>
      <c r="L13" s="63"/>
      <c r="M13" s="64"/>
    </row>
    <row r="14" ht="81.75" customHeight="1">
      <c r="A14" s="73">
        <v>10.0</v>
      </c>
      <c r="B14" s="74" t="str">
        <f>IF('Start Here'!$C$6="","",'Start Here'!$C$6+A14-1)</f>
        <v/>
      </c>
      <c r="C14" s="75" t="s">
        <v>99</v>
      </c>
      <c r="D14" s="60" t="s">
        <v>112</v>
      </c>
      <c r="E14" s="60" t="s">
        <v>113</v>
      </c>
      <c r="F14" s="60" t="s">
        <v>114</v>
      </c>
      <c r="G14" s="60" t="s">
        <v>115</v>
      </c>
      <c r="H14" s="60" t="s">
        <v>116</v>
      </c>
      <c r="I14" s="60" t="s">
        <v>117</v>
      </c>
      <c r="J14" s="61">
        <v>3.0</v>
      </c>
      <c r="K14" s="62" t="s">
        <v>63</v>
      </c>
      <c r="L14" s="63"/>
      <c r="M14" s="64"/>
    </row>
    <row r="15" ht="81.75" customHeight="1">
      <c r="A15" s="73">
        <v>11.0</v>
      </c>
      <c r="B15" s="74" t="str">
        <f>IF('Start Here'!$C$6="","",'Start Here'!$C$6+A15-1)</f>
        <v/>
      </c>
      <c r="C15" s="75" t="s">
        <v>99</v>
      </c>
      <c r="D15" s="60" t="s">
        <v>118</v>
      </c>
      <c r="E15" s="60" t="s">
        <v>119</v>
      </c>
      <c r="F15" s="60" t="s">
        <v>120</v>
      </c>
      <c r="G15" s="60" t="s">
        <v>121</v>
      </c>
      <c r="H15" s="60" t="s">
        <v>122</v>
      </c>
      <c r="I15" s="60" t="s">
        <v>123</v>
      </c>
      <c r="J15" s="61">
        <v>3.0</v>
      </c>
      <c r="K15" s="62" t="s">
        <v>63</v>
      </c>
      <c r="L15" s="63"/>
      <c r="M15" s="64"/>
    </row>
    <row r="16" ht="81.75" customHeight="1">
      <c r="A16" s="76">
        <v>12.0</v>
      </c>
      <c r="B16" s="77" t="str">
        <f>IF('Start Here'!$C$6="","",'Start Here'!$C$6+A16-1)</f>
        <v/>
      </c>
      <c r="C16" s="78" t="s">
        <v>99</v>
      </c>
      <c r="D16" s="68" t="s">
        <v>124</v>
      </c>
      <c r="E16" s="68" t="s">
        <v>125</v>
      </c>
      <c r="F16" s="68" t="s">
        <v>126</v>
      </c>
      <c r="G16" s="68" t="s">
        <v>127</v>
      </c>
      <c r="H16" s="68" t="s">
        <v>128</v>
      </c>
      <c r="I16" s="68" t="s">
        <v>129</v>
      </c>
      <c r="J16" s="69">
        <v>3.0</v>
      </c>
      <c r="K16" s="62" t="s">
        <v>63</v>
      </c>
      <c r="L16" s="63"/>
      <c r="M16" s="64"/>
    </row>
    <row r="17" ht="81.75" customHeight="1">
      <c r="A17" s="73">
        <v>13.0</v>
      </c>
      <c r="B17" s="74" t="str">
        <f>IF('Start Here'!$C$6="","",'Start Here'!$C$6+A17-1)</f>
        <v/>
      </c>
      <c r="C17" s="75" t="s">
        <v>99</v>
      </c>
      <c r="D17" s="60" t="s">
        <v>130</v>
      </c>
      <c r="E17" s="60" t="s">
        <v>131</v>
      </c>
      <c r="F17" s="60" t="s">
        <v>132</v>
      </c>
      <c r="G17" s="60" t="s">
        <v>133</v>
      </c>
      <c r="H17" s="60" t="s">
        <v>134</v>
      </c>
      <c r="I17" s="60" t="s">
        <v>135</v>
      </c>
      <c r="J17" s="61">
        <v>3.0</v>
      </c>
      <c r="K17" s="62" t="s">
        <v>63</v>
      </c>
      <c r="L17" s="63"/>
      <c r="M17" s="64"/>
    </row>
    <row r="18" ht="81.75" customHeight="1">
      <c r="A18" s="73">
        <v>14.0</v>
      </c>
      <c r="B18" s="74" t="str">
        <f>IF('Start Here'!$C$6="","",'Start Here'!$C$6+A18-1)</f>
        <v/>
      </c>
      <c r="C18" s="75" t="s">
        <v>99</v>
      </c>
      <c r="D18" s="60" t="s">
        <v>136</v>
      </c>
      <c r="E18" s="60" t="s">
        <v>137</v>
      </c>
      <c r="F18" s="60" t="s">
        <v>138</v>
      </c>
      <c r="G18" s="60" t="s">
        <v>139</v>
      </c>
      <c r="H18" s="60" t="s">
        <v>140</v>
      </c>
      <c r="I18" s="60" t="s">
        <v>87</v>
      </c>
      <c r="J18" s="61">
        <v>3.0</v>
      </c>
      <c r="K18" s="62" t="s">
        <v>63</v>
      </c>
      <c r="L18" s="63"/>
      <c r="M18" s="64"/>
    </row>
    <row r="19" ht="81.75" customHeight="1">
      <c r="A19" s="70">
        <v>15.0</v>
      </c>
      <c r="B19" s="71" t="str">
        <f>IF('Start Here'!$C$6="","",'Start Here'!$C$6+A19-1)</f>
        <v/>
      </c>
      <c r="C19" s="72" t="s">
        <v>99</v>
      </c>
      <c r="D19" s="52" t="s">
        <v>141</v>
      </c>
      <c r="E19" s="52" t="s">
        <v>142</v>
      </c>
      <c r="F19" s="52" t="s">
        <v>143</v>
      </c>
      <c r="G19" s="52" t="s">
        <v>144</v>
      </c>
      <c r="H19" s="52" t="s">
        <v>145</v>
      </c>
      <c r="I19" s="52" t="s">
        <v>146</v>
      </c>
      <c r="J19" s="53">
        <v>3.0</v>
      </c>
      <c r="K19" s="54" t="s">
        <v>63</v>
      </c>
      <c r="L19" s="55"/>
      <c r="M19" s="56"/>
    </row>
    <row r="20" ht="81.75" customHeight="1">
      <c r="A20" s="79">
        <v>16.0</v>
      </c>
      <c r="B20" s="80" t="str">
        <f>IF('Start Here'!$C$6="","",'Start Here'!$C$6+A20-1)</f>
        <v/>
      </c>
      <c r="C20" s="81" t="s">
        <v>147</v>
      </c>
      <c r="D20" s="60" t="s">
        <v>148</v>
      </c>
      <c r="E20" s="60" t="s">
        <v>149</v>
      </c>
      <c r="F20" s="60" t="s">
        <v>150</v>
      </c>
      <c r="G20" s="60" t="s">
        <v>151</v>
      </c>
      <c r="H20" s="60" t="s">
        <v>152</v>
      </c>
      <c r="I20" s="60" t="s">
        <v>153</v>
      </c>
      <c r="J20" s="61">
        <v>3.0</v>
      </c>
      <c r="K20" s="62" t="s">
        <v>63</v>
      </c>
      <c r="L20" s="63"/>
      <c r="M20" s="64"/>
    </row>
    <row r="21" ht="81.75" customHeight="1">
      <c r="A21" s="79">
        <v>17.0</v>
      </c>
      <c r="B21" s="80" t="str">
        <f>IF('Start Here'!$C$6="","",'Start Here'!$C$6+A21-1)</f>
        <v/>
      </c>
      <c r="C21" s="81" t="s">
        <v>147</v>
      </c>
      <c r="D21" s="60" t="s">
        <v>154</v>
      </c>
      <c r="E21" s="60" t="s">
        <v>155</v>
      </c>
      <c r="F21" s="60" t="s">
        <v>156</v>
      </c>
      <c r="G21" s="60" t="s">
        <v>157</v>
      </c>
      <c r="H21" s="60" t="s">
        <v>158</v>
      </c>
      <c r="I21" s="60" t="s">
        <v>159</v>
      </c>
      <c r="J21" s="61">
        <v>3.0</v>
      </c>
      <c r="K21" s="62" t="s">
        <v>63</v>
      </c>
      <c r="L21" s="63"/>
      <c r="M21" s="64"/>
    </row>
    <row r="22" ht="81.75" customHeight="1">
      <c r="A22" s="79">
        <v>18.0</v>
      </c>
      <c r="B22" s="80" t="str">
        <f>IF('Start Here'!$C$6="","",'Start Here'!$C$6+A22-1)</f>
        <v/>
      </c>
      <c r="C22" s="81" t="s">
        <v>147</v>
      </c>
      <c r="D22" s="60" t="s">
        <v>160</v>
      </c>
      <c r="E22" s="60" t="s">
        <v>161</v>
      </c>
      <c r="F22" s="60" t="s">
        <v>162</v>
      </c>
      <c r="G22" s="60" t="s">
        <v>163</v>
      </c>
      <c r="H22" s="60" t="s">
        <v>164</v>
      </c>
      <c r="I22" s="60" t="s">
        <v>165</v>
      </c>
      <c r="J22" s="61">
        <v>3.0</v>
      </c>
      <c r="K22" s="62" t="s">
        <v>63</v>
      </c>
      <c r="L22" s="63"/>
      <c r="M22" s="64"/>
    </row>
    <row r="23" ht="81.75" customHeight="1">
      <c r="A23" s="79">
        <v>19.0</v>
      </c>
      <c r="B23" s="80" t="str">
        <f>IF('Start Here'!$C$6="","",'Start Here'!$C$6+A23-1)</f>
        <v/>
      </c>
      <c r="C23" s="81" t="s">
        <v>147</v>
      </c>
      <c r="D23" s="60" t="s">
        <v>166</v>
      </c>
      <c r="E23" s="60" t="s">
        <v>167</v>
      </c>
      <c r="F23" s="60" t="s">
        <v>168</v>
      </c>
      <c r="G23" s="60" t="s">
        <v>169</v>
      </c>
      <c r="H23" s="60" t="s">
        <v>170</v>
      </c>
      <c r="I23" s="60" t="s">
        <v>171</v>
      </c>
      <c r="J23" s="61">
        <v>3.0</v>
      </c>
      <c r="K23" s="62" t="s">
        <v>63</v>
      </c>
      <c r="L23" s="63"/>
      <c r="M23" s="64"/>
    </row>
    <row r="24" ht="81.75" customHeight="1">
      <c r="A24" s="82">
        <v>20.0</v>
      </c>
      <c r="B24" s="83" t="str">
        <f>IF('Start Here'!$C$6="","",'Start Here'!$C$6+A24-1)</f>
        <v/>
      </c>
      <c r="C24" s="84" t="s">
        <v>147</v>
      </c>
      <c r="D24" s="68" t="s">
        <v>172</v>
      </c>
      <c r="E24" s="68" t="s">
        <v>173</v>
      </c>
      <c r="F24" s="68" t="s">
        <v>174</v>
      </c>
      <c r="G24" s="68" t="s">
        <v>175</v>
      </c>
      <c r="H24" s="68" t="s">
        <v>176</v>
      </c>
      <c r="I24" s="68" t="s">
        <v>177</v>
      </c>
      <c r="J24" s="69">
        <v>3.0</v>
      </c>
      <c r="K24" s="62" t="s">
        <v>63</v>
      </c>
      <c r="L24" s="63"/>
      <c r="M24" s="64"/>
    </row>
    <row r="25" ht="81.75" customHeight="1">
      <c r="A25" s="85">
        <v>21.0</v>
      </c>
      <c r="B25" s="86" t="str">
        <f>IF('Start Here'!$C$6="","",'Start Here'!$C$6+A25-1)</f>
        <v/>
      </c>
      <c r="C25" s="87" t="s">
        <v>178</v>
      </c>
      <c r="D25" s="60" t="s">
        <v>179</v>
      </c>
      <c r="E25" s="60" t="s">
        <v>180</v>
      </c>
      <c r="F25" s="60" t="s">
        <v>181</v>
      </c>
      <c r="G25" s="60" t="s">
        <v>182</v>
      </c>
      <c r="H25" s="60" t="s">
        <v>183</v>
      </c>
      <c r="I25" s="60" t="s">
        <v>98</v>
      </c>
      <c r="J25" s="61">
        <v>3.0</v>
      </c>
      <c r="K25" s="62" t="s">
        <v>63</v>
      </c>
      <c r="L25" s="63"/>
      <c r="M25" s="64"/>
    </row>
    <row r="26" ht="81.75" customHeight="1">
      <c r="A26" s="88">
        <v>22.0</v>
      </c>
      <c r="B26" s="89" t="str">
        <f>IF('Start Here'!$C$6="","",'Start Here'!$C$6+A26-1)</f>
        <v/>
      </c>
      <c r="C26" s="90" t="s">
        <v>178</v>
      </c>
      <c r="D26" s="52" t="s">
        <v>184</v>
      </c>
      <c r="E26" s="52" t="s">
        <v>185</v>
      </c>
      <c r="F26" s="52" t="s">
        <v>186</v>
      </c>
      <c r="G26" s="52" t="s">
        <v>187</v>
      </c>
      <c r="H26" s="52" t="s">
        <v>188</v>
      </c>
      <c r="I26" s="52" t="s">
        <v>98</v>
      </c>
      <c r="J26" s="53">
        <v>3.0</v>
      </c>
      <c r="K26" s="54" t="s">
        <v>63</v>
      </c>
      <c r="L26" s="55"/>
      <c r="M26" s="56"/>
    </row>
    <row r="27" ht="81.75" customHeight="1">
      <c r="A27" s="85">
        <v>23.0</v>
      </c>
      <c r="B27" s="86" t="str">
        <f>IF('Start Here'!$C$6="","",'Start Here'!$C$6+A27-1)</f>
        <v/>
      </c>
      <c r="C27" s="87" t="s">
        <v>178</v>
      </c>
      <c r="D27" s="60" t="s">
        <v>189</v>
      </c>
      <c r="E27" s="60" t="s">
        <v>190</v>
      </c>
      <c r="F27" s="60" t="s">
        <v>191</v>
      </c>
      <c r="G27" s="60" t="s">
        <v>192</v>
      </c>
      <c r="H27" s="60" t="s">
        <v>193</v>
      </c>
      <c r="I27" s="60" t="s">
        <v>194</v>
      </c>
      <c r="J27" s="61">
        <v>3.0</v>
      </c>
      <c r="K27" s="62" t="s">
        <v>63</v>
      </c>
      <c r="L27" s="63"/>
      <c r="M27" s="64"/>
    </row>
    <row r="28" ht="81.75" customHeight="1">
      <c r="A28" s="85">
        <v>24.0</v>
      </c>
      <c r="B28" s="86" t="str">
        <f>IF('Start Here'!$C$6="","",'Start Here'!$C$6+A28-1)</f>
        <v/>
      </c>
      <c r="C28" s="87" t="s">
        <v>178</v>
      </c>
      <c r="D28" s="60" t="s">
        <v>195</v>
      </c>
      <c r="E28" s="60" t="s">
        <v>196</v>
      </c>
      <c r="F28" s="60" t="s">
        <v>197</v>
      </c>
      <c r="G28" s="60" t="s">
        <v>198</v>
      </c>
      <c r="H28" s="60" t="s">
        <v>199</v>
      </c>
      <c r="I28" s="60" t="s">
        <v>200</v>
      </c>
      <c r="J28" s="61">
        <v>3.0</v>
      </c>
      <c r="K28" s="62" t="s">
        <v>63</v>
      </c>
      <c r="L28" s="63"/>
      <c r="M28" s="64"/>
    </row>
    <row r="29" ht="81.75" customHeight="1">
      <c r="A29" s="85">
        <v>25.0</v>
      </c>
      <c r="B29" s="86" t="str">
        <f>IF('Start Here'!$C$6="","",'Start Here'!$C$6+A29-1)</f>
        <v/>
      </c>
      <c r="C29" s="87" t="s">
        <v>178</v>
      </c>
      <c r="D29" s="60" t="s">
        <v>201</v>
      </c>
      <c r="E29" s="60" t="s">
        <v>202</v>
      </c>
      <c r="F29" s="60" t="s">
        <v>203</v>
      </c>
      <c r="G29" s="60" t="s">
        <v>204</v>
      </c>
      <c r="H29" s="60" t="s">
        <v>205</v>
      </c>
      <c r="I29" s="60" t="s">
        <v>206</v>
      </c>
      <c r="J29" s="61">
        <v>3.0</v>
      </c>
      <c r="K29" s="62" t="s">
        <v>63</v>
      </c>
      <c r="L29" s="63"/>
      <c r="M29" s="64"/>
    </row>
    <row r="30" ht="81.75" customHeight="1">
      <c r="A30" s="85">
        <v>26.0</v>
      </c>
      <c r="B30" s="86" t="str">
        <f>IF('Start Here'!$C$6="","",'Start Here'!$C$6+A30-1)</f>
        <v/>
      </c>
      <c r="C30" s="87" t="s">
        <v>178</v>
      </c>
      <c r="D30" s="60" t="s">
        <v>207</v>
      </c>
      <c r="E30" s="60" t="s">
        <v>208</v>
      </c>
      <c r="F30" s="60" t="s">
        <v>209</v>
      </c>
      <c r="G30" s="60" t="s">
        <v>210</v>
      </c>
      <c r="H30" s="60" t="s">
        <v>211</v>
      </c>
      <c r="I30" s="60" t="s">
        <v>212</v>
      </c>
      <c r="J30" s="61">
        <v>3.0</v>
      </c>
      <c r="K30" s="62" t="s">
        <v>63</v>
      </c>
      <c r="L30" s="63"/>
      <c r="M30" s="64"/>
    </row>
    <row r="31" ht="81.75" customHeight="1">
      <c r="A31" s="91">
        <v>27.0</v>
      </c>
      <c r="B31" s="92" t="str">
        <f>IF('Start Here'!$C$6="","",'Start Here'!$C$6+A31-1)</f>
        <v/>
      </c>
      <c r="C31" s="93" t="s">
        <v>213</v>
      </c>
      <c r="D31" s="68" t="s">
        <v>214</v>
      </c>
      <c r="E31" s="68" t="s">
        <v>215</v>
      </c>
      <c r="F31" s="68" t="s">
        <v>216</v>
      </c>
      <c r="G31" s="68" t="s">
        <v>217</v>
      </c>
      <c r="H31" s="68" t="s">
        <v>218</v>
      </c>
      <c r="I31" s="68" t="s">
        <v>219</v>
      </c>
      <c r="J31" s="69">
        <v>3.0</v>
      </c>
      <c r="K31" s="62" t="s">
        <v>63</v>
      </c>
      <c r="L31" s="63"/>
      <c r="M31" s="64"/>
    </row>
    <row r="32" ht="81.75" customHeight="1">
      <c r="A32" s="91">
        <v>28.0</v>
      </c>
      <c r="B32" s="92" t="str">
        <f>IF('Start Here'!$C$6="","",'Start Here'!$C$6+A32-1)</f>
        <v/>
      </c>
      <c r="C32" s="93" t="s">
        <v>213</v>
      </c>
      <c r="D32" s="68" t="s">
        <v>220</v>
      </c>
      <c r="E32" s="68" t="s">
        <v>221</v>
      </c>
      <c r="F32" s="68" t="s">
        <v>222</v>
      </c>
      <c r="G32" s="68" t="s">
        <v>223</v>
      </c>
      <c r="H32" s="68" t="s">
        <v>224</v>
      </c>
      <c r="I32" s="68" t="s">
        <v>219</v>
      </c>
      <c r="J32" s="69">
        <v>3.0</v>
      </c>
      <c r="K32" s="62" t="s">
        <v>63</v>
      </c>
      <c r="L32" s="63"/>
      <c r="M32" s="64"/>
    </row>
    <row r="33" ht="81.75" customHeight="1">
      <c r="A33" s="94">
        <v>29.0</v>
      </c>
      <c r="B33" s="95" t="str">
        <f>IF('Start Here'!$C$6="","",'Start Here'!$C$6+A33-1)</f>
        <v/>
      </c>
      <c r="C33" s="96" t="s">
        <v>213</v>
      </c>
      <c r="D33" s="97" t="s">
        <v>225</v>
      </c>
      <c r="E33" s="97" t="s">
        <v>226</v>
      </c>
      <c r="F33" s="97" t="s">
        <v>227</v>
      </c>
      <c r="G33" s="97" t="s">
        <v>228</v>
      </c>
      <c r="H33" s="97" t="s">
        <v>229</v>
      </c>
      <c r="I33" s="97" t="s">
        <v>230</v>
      </c>
      <c r="J33" s="98">
        <v>3.0</v>
      </c>
      <c r="K33" s="99" t="s">
        <v>63</v>
      </c>
      <c r="L33" s="100"/>
      <c r="M33" s="101"/>
    </row>
    <row r="34" ht="81.75" customHeight="1">
      <c r="A34" s="91">
        <v>30.0</v>
      </c>
      <c r="B34" s="92" t="str">
        <f>IF('Start Here'!$C$6="","",'Start Here'!$C$6+A34-1)</f>
        <v/>
      </c>
      <c r="C34" s="93" t="s">
        <v>213</v>
      </c>
      <c r="D34" s="68" t="s">
        <v>231</v>
      </c>
      <c r="E34" s="68" t="s">
        <v>232</v>
      </c>
      <c r="F34" s="68" t="s">
        <v>233</v>
      </c>
      <c r="G34" s="68" t="s">
        <v>234</v>
      </c>
      <c r="H34" s="68" t="s">
        <v>235</v>
      </c>
      <c r="I34" s="68" t="s">
        <v>236</v>
      </c>
      <c r="J34" s="69">
        <v>3.0</v>
      </c>
      <c r="K34" s="102" t="s">
        <v>63</v>
      </c>
      <c r="L34" s="103"/>
      <c r="M34" s="10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K5:K34">
    <cfRule type="containsText" dxfId="3" priority="1" operator="containsText" text="Completed">
      <formula>NOT(ISERROR(SEARCH(("Completed"),(K5))))</formula>
    </cfRule>
  </conditionalFormatting>
  <conditionalFormatting sqref="K5:K34">
    <cfRule type="containsText" dxfId="4" priority="2" operator="containsText" text="Blocked">
      <formula>NOT(ISERROR(SEARCH(("Blocked"),(K5))))</formula>
    </cfRule>
  </conditionalFormatting>
  <conditionalFormatting sqref="K5:K34">
    <cfRule type="containsText" dxfId="5" priority="3" operator="containsText" text="In Progress">
      <formula>NOT(ISERROR(SEARCH(("In Progress"),(K5))))</formula>
    </cfRule>
  </conditionalFormatting>
  <conditionalFormatting sqref="L5:L34">
    <cfRule type="colorScale" priority="4">
      <colorScale>
        <cfvo type="min"/>
        <cfvo type="percentile" val="50"/>
        <cfvo type="max"/>
        <color rgb="FFFCEDEA"/>
        <color rgb="FFFFF7E1"/>
        <color rgb="FFEAF6EE"/>
      </colorScale>
    </cfRule>
  </conditionalFormatting>
  <dataValidations>
    <dataValidation type="decimal" allowBlank="1" sqref="L5:L34">
      <formula1>0.0</formula1>
      <formula2>100.0</formula2>
    </dataValidation>
    <dataValidation type="list" allowBlank="1" sqref="K5:K34">
      <formula1>"Not Started,In Progress,Blocked,Completed"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3" width="44.0"/>
    <col customWidth="1" min="4" max="4" width="42.0"/>
    <col customWidth="1" min="5" max="5" width="38.0"/>
    <col customWidth="1" min="6" max="6" width="36.0"/>
    <col customWidth="1" min="7" max="7" width="12.0"/>
    <col customWidth="1" min="8" max="8" width="14.0"/>
    <col customWidth="1" min="9" max="26" width="8.63"/>
  </cols>
  <sheetData>
    <row r="1" ht="42.0" customHeight="1">
      <c r="A1" s="45" t="s">
        <v>237</v>
      </c>
      <c r="B1" s="2"/>
      <c r="C1" s="2"/>
      <c r="D1" s="2"/>
      <c r="E1" s="2"/>
      <c r="F1" s="2"/>
      <c r="G1" s="2"/>
      <c r="H1" s="2"/>
    </row>
    <row r="2" ht="31.5" customHeight="1">
      <c r="A2" s="3" t="s">
        <v>238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 ht="33.75" customHeight="1">
      <c r="A4" s="46" t="s">
        <v>239</v>
      </c>
      <c r="B4" s="47" t="s">
        <v>240</v>
      </c>
      <c r="C4" s="47" t="s">
        <v>241</v>
      </c>
      <c r="D4" s="47" t="s">
        <v>242</v>
      </c>
      <c r="E4" s="47" t="s">
        <v>243</v>
      </c>
      <c r="F4" s="47" t="s">
        <v>244</v>
      </c>
      <c r="G4" s="47" t="s">
        <v>245</v>
      </c>
      <c r="H4" s="48" t="s">
        <v>53</v>
      </c>
    </row>
    <row r="5" ht="102.0" customHeight="1">
      <c r="A5" s="105" t="s">
        <v>246</v>
      </c>
      <c r="B5" s="106" t="s">
        <v>247</v>
      </c>
      <c r="C5" s="106" t="s">
        <v>248</v>
      </c>
      <c r="D5" s="106" t="s">
        <v>249</v>
      </c>
      <c r="E5" s="106" t="s">
        <v>250</v>
      </c>
      <c r="F5" s="106" t="s">
        <v>251</v>
      </c>
      <c r="G5" s="107">
        <v>7.0</v>
      </c>
      <c r="H5" s="108" t="s">
        <v>63</v>
      </c>
    </row>
    <row r="6" ht="102.0" customHeight="1">
      <c r="A6" s="109" t="s">
        <v>252</v>
      </c>
      <c r="B6" s="110" t="s">
        <v>253</v>
      </c>
      <c r="C6" s="110" t="s">
        <v>254</v>
      </c>
      <c r="D6" s="110" t="s">
        <v>255</v>
      </c>
      <c r="E6" s="110" t="s">
        <v>256</v>
      </c>
      <c r="F6" s="110" t="s">
        <v>257</v>
      </c>
      <c r="G6" s="111">
        <v>12.0</v>
      </c>
      <c r="H6" s="112" t="s">
        <v>63</v>
      </c>
    </row>
    <row r="7" ht="102.0" customHeight="1">
      <c r="A7" s="113" t="s">
        <v>258</v>
      </c>
      <c r="B7" s="114" t="s">
        <v>259</v>
      </c>
      <c r="C7" s="114" t="s">
        <v>260</v>
      </c>
      <c r="D7" s="114" t="s">
        <v>261</v>
      </c>
      <c r="E7" s="114" t="s">
        <v>262</v>
      </c>
      <c r="F7" s="114" t="s">
        <v>263</v>
      </c>
      <c r="G7" s="115">
        <v>20.0</v>
      </c>
      <c r="H7" s="112" t="s">
        <v>63</v>
      </c>
    </row>
    <row r="8" ht="102.0" customHeight="1">
      <c r="A8" s="116" t="s">
        <v>264</v>
      </c>
      <c r="B8" s="117" t="s">
        <v>265</v>
      </c>
      <c r="C8" s="117" t="s">
        <v>266</v>
      </c>
      <c r="D8" s="117" t="s">
        <v>267</v>
      </c>
      <c r="E8" s="117" t="s">
        <v>268</v>
      </c>
      <c r="F8" s="117" t="s">
        <v>269</v>
      </c>
      <c r="G8" s="118">
        <v>28.0</v>
      </c>
      <c r="H8" s="11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H5:H8">
    <cfRule type="containsText" dxfId="3" priority="1" operator="containsText" text="Completed">
      <formula>NOT(ISERROR(SEARCH(("Completed"),(H5))))</formula>
    </cfRule>
  </conditionalFormatting>
  <dataValidations>
    <dataValidation type="list" allowBlank="1" sqref="H5:H8">
      <formula1>"Not Started,In Progress,Blocked,Completed"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4" width="13.0"/>
    <col customWidth="1" min="5" max="5" width="9.0"/>
    <col customWidth="1" min="6" max="6" width="38.0"/>
    <col customWidth="1" min="7" max="7" width="18.0"/>
    <col customWidth="1" min="8" max="8" width="32.0"/>
    <col customWidth="1" min="9" max="26" width="8.63"/>
  </cols>
  <sheetData>
    <row r="1" ht="42.0" customHeight="1">
      <c r="A1" s="45" t="s">
        <v>270</v>
      </c>
      <c r="B1" s="2"/>
      <c r="C1" s="2"/>
      <c r="D1" s="2"/>
      <c r="E1" s="2"/>
      <c r="F1" s="2"/>
      <c r="G1" s="2"/>
      <c r="H1" s="2"/>
    </row>
    <row r="2" ht="31.5" customHeight="1">
      <c r="A2" s="3" t="s">
        <v>271</v>
      </c>
      <c r="B2" s="4"/>
      <c r="C2" s="4"/>
      <c r="D2" s="4"/>
      <c r="E2" s="4"/>
      <c r="F2" s="4"/>
      <c r="G2" s="4"/>
      <c r="H2" s="4"/>
    </row>
    <row r="3">
      <c r="A3" s="5"/>
      <c r="B3" s="5"/>
      <c r="C3" s="5"/>
      <c r="D3" s="5"/>
      <c r="E3" s="5"/>
      <c r="F3" s="5"/>
      <c r="G3" s="5"/>
      <c r="H3" s="5"/>
    </row>
    <row r="4" ht="33.75" customHeight="1">
      <c r="A4" s="46" t="s">
        <v>272</v>
      </c>
      <c r="B4" s="47" t="s">
        <v>273</v>
      </c>
      <c r="C4" s="47" t="s">
        <v>274</v>
      </c>
      <c r="D4" s="47" t="s">
        <v>275</v>
      </c>
      <c r="E4" s="47" t="s">
        <v>276</v>
      </c>
      <c r="F4" s="47" t="s">
        <v>277</v>
      </c>
      <c r="G4" s="47" t="s">
        <v>278</v>
      </c>
      <c r="H4" s="48" t="s">
        <v>279</v>
      </c>
    </row>
    <row r="5" ht="49.5" customHeight="1">
      <c r="A5" s="119" t="s">
        <v>280</v>
      </c>
      <c r="B5" s="120" t="s">
        <v>281</v>
      </c>
      <c r="C5" s="121">
        <v>4.0</v>
      </c>
      <c r="D5" s="122">
        <v>2.0</v>
      </c>
      <c r="E5" s="123">
        <f t="shared" ref="E5:E18" si="1">MAX(0,C5-D5)</f>
        <v>2</v>
      </c>
      <c r="F5" s="120" t="s">
        <v>282</v>
      </c>
      <c r="G5" s="120" t="s">
        <v>283</v>
      </c>
      <c r="H5" s="124"/>
    </row>
    <row r="6" ht="49.5" customHeight="1">
      <c r="A6" s="125" t="s">
        <v>284</v>
      </c>
      <c r="B6" s="60" t="s">
        <v>285</v>
      </c>
      <c r="C6" s="126">
        <v>4.0</v>
      </c>
      <c r="D6" s="127">
        <v>2.0</v>
      </c>
      <c r="E6" s="128">
        <f t="shared" si="1"/>
        <v>2</v>
      </c>
      <c r="F6" s="60" t="s">
        <v>286</v>
      </c>
      <c r="G6" s="60" t="s">
        <v>287</v>
      </c>
      <c r="H6" s="64"/>
    </row>
    <row r="7" ht="49.5" customHeight="1">
      <c r="A7" s="125" t="s">
        <v>288</v>
      </c>
      <c r="B7" s="60" t="s">
        <v>289</v>
      </c>
      <c r="C7" s="126">
        <v>4.0</v>
      </c>
      <c r="D7" s="127">
        <v>2.0</v>
      </c>
      <c r="E7" s="128">
        <f t="shared" si="1"/>
        <v>2</v>
      </c>
      <c r="F7" s="60" t="s">
        <v>290</v>
      </c>
      <c r="G7" s="60" t="s">
        <v>291</v>
      </c>
      <c r="H7" s="64"/>
    </row>
    <row r="8" ht="49.5" customHeight="1">
      <c r="A8" s="125" t="s">
        <v>292</v>
      </c>
      <c r="B8" s="60" t="s">
        <v>293</v>
      </c>
      <c r="C8" s="126">
        <v>5.0</v>
      </c>
      <c r="D8" s="127">
        <v>2.0</v>
      </c>
      <c r="E8" s="128">
        <f t="shared" si="1"/>
        <v>3</v>
      </c>
      <c r="F8" s="60" t="s">
        <v>294</v>
      </c>
      <c r="G8" s="60" t="s">
        <v>295</v>
      </c>
      <c r="H8" s="64"/>
    </row>
    <row r="9" ht="49.5" customHeight="1">
      <c r="A9" s="125" t="s">
        <v>296</v>
      </c>
      <c r="B9" s="60" t="s">
        <v>297</v>
      </c>
      <c r="C9" s="126">
        <v>4.0</v>
      </c>
      <c r="D9" s="127">
        <v>2.0</v>
      </c>
      <c r="E9" s="128">
        <f t="shared" si="1"/>
        <v>2</v>
      </c>
      <c r="F9" s="60" t="s">
        <v>298</v>
      </c>
      <c r="G9" s="60" t="s">
        <v>299</v>
      </c>
      <c r="H9" s="64"/>
    </row>
    <row r="10" ht="49.5" customHeight="1">
      <c r="A10" s="125" t="s">
        <v>300</v>
      </c>
      <c r="B10" s="60" t="s">
        <v>301</v>
      </c>
      <c r="C10" s="126">
        <v>4.0</v>
      </c>
      <c r="D10" s="127">
        <v>2.0</v>
      </c>
      <c r="E10" s="128">
        <f t="shared" si="1"/>
        <v>2</v>
      </c>
      <c r="F10" s="60" t="s">
        <v>302</v>
      </c>
      <c r="G10" s="60" t="s">
        <v>303</v>
      </c>
      <c r="H10" s="64"/>
    </row>
    <row r="11" ht="49.5" customHeight="1">
      <c r="A11" s="125" t="s">
        <v>304</v>
      </c>
      <c r="B11" s="60" t="s">
        <v>305</v>
      </c>
      <c r="C11" s="126">
        <v>4.0</v>
      </c>
      <c r="D11" s="127">
        <v>2.0</v>
      </c>
      <c r="E11" s="128">
        <f t="shared" si="1"/>
        <v>2</v>
      </c>
      <c r="F11" s="60" t="s">
        <v>306</v>
      </c>
      <c r="G11" s="60" t="s">
        <v>307</v>
      </c>
      <c r="H11" s="64"/>
    </row>
    <row r="12" ht="49.5" customHeight="1">
      <c r="A12" s="125" t="s">
        <v>308</v>
      </c>
      <c r="B12" s="60" t="s">
        <v>309</v>
      </c>
      <c r="C12" s="126">
        <v>4.0</v>
      </c>
      <c r="D12" s="127">
        <v>2.0</v>
      </c>
      <c r="E12" s="128">
        <f t="shared" si="1"/>
        <v>2</v>
      </c>
      <c r="F12" s="60" t="s">
        <v>310</v>
      </c>
      <c r="G12" s="60" t="s">
        <v>311</v>
      </c>
      <c r="H12" s="64"/>
    </row>
    <row r="13" ht="49.5" customHeight="1">
      <c r="A13" s="125" t="s">
        <v>312</v>
      </c>
      <c r="B13" s="60" t="s">
        <v>313</v>
      </c>
      <c r="C13" s="126">
        <v>4.0</v>
      </c>
      <c r="D13" s="127">
        <v>2.0</v>
      </c>
      <c r="E13" s="128">
        <f t="shared" si="1"/>
        <v>2</v>
      </c>
      <c r="F13" s="60" t="s">
        <v>314</v>
      </c>
      <c r="G13" s="60" t="s">
        <v>315</v>
      </c>
      <c r="H13" s="64"/>
    </row>
    <row r="14" ht="49.5" customHeight="1">
      <c r="A14" s="125" t="s">
        <v>312</v>
      </c>
      <c r="B14" s="60" t="s">
        <v>316</v>
      </c>
      <c r="C14" s="126">
        <v>5.0</v>
      </c>
      <c r="D14" s="127">
        <v>2.0</v>
      </c>
      <c r="E14" s="128">
        <f t="shared" si="1"/>
        <v>3</v>
      </c>
      <c r="F14" s="60" t="s">
        <v>317</v>
      </c>
      <c r="G14" s="60" t="s">
        <v>318</v>
      </c>
      <c r="H14" s="64"/>
    </row>
    <row r="15" ht="49.5" customHeight="1">
      <c r="A15" s="125" t="s">
        <v>319</v>
      </c>
      <c r="B15" s="60" t="s">
        <v>320</v>
      </c>
      <c r="C15" s="126">
        <v>4.0</v>
      </c>
      <c r="D15" s="127">
        <v>2.0</v>
      </c>
      <c r="E15" s="128">
        <f t="shared" si="1"/>
        <v>2</v>
      </c>
      <c r="F15" s="60" t="s">
        <v>321</v>
      </c>
      <c r="G15" s="60" t="s">
        <v>322</v>
      </c>
      <c r="H15" s="64"/>
    </row>
    <row r="16" ht="49.5" customHeight="1">
      <c r="A16" s="125" t="s">
        <v>323</v>
      </c>
      <c r="B16" s="60" t="s">
        <v>195</v>
      </c>
      <c r="C16" s="126">
        <v>4.0</v>
      </c>
      <c r="D16" s="127">
        <v>2.0</v>
      </c>
      <c r="E16" s="128">
        <f t="shared" si="1"/>
        <v>2</v>
      </c>
      <c r="F16" s="60" t="s">
        <v>324</v>
      </c>
      <c r="G16" s="60" t="s">
        <v>325</v>
      </c>
      <c r="H16" s="64"/>
    </row>
    <row r="17" ht="49.5" customHeight="1">
      <c r="A17" s="125" t="s">
        <v>326</v>
      </c>
      <c r="B17" s="60" t="s">
        <v>327</v>
      </c>
      <c r="C17" s="126">
        <v>4.0</v>
      </c>
      <c r="D17" s="127">
        <v>2.0</v>
      </c>
      <c r="E17" s="128">
        <f t="shared" si="1"/>
        <v>2</v>
      </c>
      <c r="F17" s="60" t="s">
        <v>328</v>
      </c>
      <c r="G17" s="60" t="s">
        <v>329</v>
      </c>
      <c r="H17" s="64"/>
    </row>
    <row r="18" ht="49.5" customHeight="1">
      <c r="A18" s="129" t="s">
        <v>330</v>
      </c>
      <c r="B18" s="130" t="s">
        <v>331</v>
      </c>
      <c r="C18" s="131">
        <v>4.0</v>
      </c>
      <c r="D18" s="132">
        <v>2.0</v>
      </c>
      <c r="E18" s="133">
        <f t="shared" si="1"/>
        <v>2</v>
      </c>
      <c r="F18" s="130" t="s">
        <v>332</v>
      </c>
      <c r="G18" s="130" t="s">
        <v>333</v>
      </c>
      <c r="H18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5:E18">
    <cfRule type="colorScale" priority="1">
      <colorScale>
        <cfvo type="min"/>
        <cfvo type="percentile" val="50"/>
        <cfvo type="max"/>
        <color rgb="FFEAF6EE"/>
        <color rgb="FFFFF7E1"/>
        <color rgb="FFFCEDEA"/>
      </colorScale>
    </cfRule>
  </conditionalFormatting>
  <dataValidations>
    <dataValidation type="decimal" allowBlank="1" sqref="D5:D18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46.0"/>
    <col customWidth="1" min="3" max="3" width="48.0"/>
    <col customWidth="1" min="4" max="4" width="34.0"/>
    <col customWidth="1" min="5" max="5" width="18.0"/>
    <col customWidth="1" min="6" max="6" width="16.0"/>
    <col customWidth="1" min="7" max="7" width="52.0"/>
    <col customWidth="1" min="8" max="26" width="8.63"/>
  </cols>
  <sheetData>
    <row r="1" ht="42.0" customHeight="1">
      <c r="A1" s="45" t="s">
        <v>334</v>
      </c>
      <c r="B1" s="2"/>
      <c r="C1" s="2"/>
      <c r="D1" s="2"/>
      <c r="E1" s="2"/>
      <c r="F1" s="2"/>
      <c r="G1" s="2"/>
    </row>
    <row r="2" ht="31.5" customHeight="1">
      <c r="A2" s="3" t="s">
        <v>335</v>
      </c>
      <c r="B2" s="4"/>
      <c r="C2" s="4"/>
      <c r="D2" s="4"/>
      <c r="E2" s="4"/>
      <c r="F2" s="4"/>
      <c r="G2" s="4"/>
    </row>
    <row r="3">
      <c r="A3" s="5"/>
      <c r="B3" s="5"/>
      <c r="C3" s="5"/>
      <c r="D3" s="5"/>
      <c r="E3" s="5"/>
      <c r="F3" s="5"/>
      <c r="G3" s="5"/>
    </row>
    <row r="4" ht="33.75" customHeight="1">
      <c r="A4" s="46" t="s">
        <v>336</v>
      </c>
      <c r="B4" s="47" t="s">
        <v>337</v>
      </c>
      <c r="C4" s="47" t="s">
        <v>338</v>
      </c>
      <c r="D4" s="47" t="s">
        <v>339</v>
      </c>
      <c r="E4" s="47" t="s">
        <v>340</v>
      </c>
      <c r="F4" s="47" t="s">
        <v>53</v>
      </c>
      <c r="G4" s="48" t="s">
        <v>341</v>
      </c>
    </row>
    <row r="5" ht="81.75" customHeight="1">
      <c r="A5" s="134" t="s">
        <v>342</v>
      </c>
      <c r="B5" s="120" t="s">
        <v>343</v>
      </c>
      <c r="C5" s="120" t="s">
        <v>344</v>
      </c>
      <c r="D5" s="124" t="s">
        <v>345</v>
      </c>
      <c r="E5" s="124" t="s">
        <v>346</v>
      </c>
      <c r="F5" s="124" t="s">
        <v>347</v>
      </c>
      <c r="G5" s="135" t="s">
        <v>348</v>
      </c>
    </row>
    <row r="6" ht="81.75" customHeight="1">
      <c r="A6" s="136" t="s">
        <v>349</v>
      </c>
      <c r="B6" s="60" t="s">
        <v>350</v>
      </c>
      <c r="C6" s="60" t="s">
        <v>351</v>
      </c>
      <c r="D6" s="64" t="s">
        <v>352</v>
      </c>
      <c r="E6" s="64" t="s">
        <v>346</v>
      </c>
      <c r="F6" s="64" t="s">
        <v>347</v>
      </c>
      <c r="G6" s="137" t="s">
        <v>353</v>
      </c>
    </row>
    <row r="7" ht="81.75" customHeight="1">
      <c r="A7" s="136" t="s">
        <v>354</v>
      </c>
      <c r="B7" s="60" t="s">
        <v>355</v>
      </c>
      <c r="C7" s="60" t="s">
        <v>356</v>
      </c>
      <c r="D7" s="64" t="s">
        <v>357</v>
      </c>
      <c r="E7" s="64" t="s">
        <v>358</v>
      </c>
      <c r="F7" s="64" t="s">
        <v>347</v>
      </c>
      <c r="G7" s="137" t="s">
        <v>359</v>
      </c>
    </row>
    <row r="8" ht="81.75" customHeight="1">
      <c r="A8" s="136" t="s">
        <v>360</v>
      </c>
      <c r="B8" s="60" t="s">
        <v>361</v>
      </c>
      <c r="C8" s="60" t="s">
        <v>362</v>
      </c>
      <c r="D8" s="64" t="s">
        <v>363</v>
      </c>
      <c r="E8" s="64" t="s">
        <v>346</v>
      </c>
      <c r="F8" s="64" t="s">
        <v>347</v>
      </c>
      <c r="G8" s="137" t="s">
        <v>364</v>
      </c>
    </row>
    <row r="9" ht="81.75" customHeight="1">
      <c r="A9" s="136" t="s">
        <v>365</v>
      </c>
      <c r="B9" s="60" t="s">
        <v>366</v>
      </c>
      <c r="C9" s="60" t="s">
        <v>367</v>
      </c>
      <c r="D9" s="64" t="s">
        <v>368</v>
      </c>
      <c r="E9" s="64" t="s">
        <v>369</v>
      </c>
      <c r="F9" s="64" t="s">
        <v>347</v>
      </c>
      <c r="G9" s="137" t="s">
        <v>370</v>
      </c>
    </row>
    <row r="10" ht="81.75" customHeight="1">
      <c r="A10" s="136" t="s">
        <v>371</v>
      </c>
      <c r="B10" s="60" t="s">
        <v>372</v>
      </c>
      <c r="C10" s="60" t="s">
        <v>373</v>
      </c>
      <c r="D10" s="64" t="s">
        <v>374</v>
      </c>
      <c r="E10" s="64" t="s">
        <v>375</v>
      </c>
      <c r="F10" s="64" t="s">
        <v>347</v>
      </c>
      <c r="G10" s="137" t="s">
        <v>376</v>
      </c>
    </row>
    <row r="11" ht="81.75" customHeight="1">
      <c r="A11" s="136" t="s">
        <v>377</v>
      </c>
      <c r="B11" s="60" t="s">
        <v>378</v>
      </c>
      <c r="C11" s="60" t="s">
        <v>379</v>
      </c>
      <c r="D11" s="64" t="s">
        <v>380</v>
      </c>
      <c r="E11" s="64" t="s">
        <v>381</v>
      </c>
      <c r="F11" s="64" t="s">
        <v>347</v>
      </c>
      <c r="G11" s="137" t="s">
        <v>382</v>
      </c>
    </row>
    <row r="12" ht="81.75" customHeight="1">
      <c r="A12" s="136" t="s">
        <v>383</v>
      </c>
      <c r="B12" s="60" t="s">
        <v>384</v>
      </c>
      <c r="C12" s="60" t="s">
        <v>385</v>
      </c>
      <c r="D12" s="64" t="s">
        <v>386</v>
      </c>
      <c r="E12" s="64" t="s">
        <v>387</v>
      </c>
      <c r="F12" s="64" t="s">
        <v>347</v>
      </c>
      <c r="G12" s="137" t="s">
        <v>388</v>
      </c>
    </row>
    <row r="13" ht="81.75" customHeight="1">
      <c r="A13" s="136" t="s">
        <v>389</v>
      </c>
      <c r="B13" s="60" t="s">
        <v>390</v>
      </c>
      <c r="C13" s="60" t="s">
        <v>391</v>
      </c>
      <c r="D13" s="64" t="s">
        <v>392</v>
      </c>
      <c r="E13" s="64" t="s">
        <v>393</v>
      </c>
      <c r="F13" s="64" t="s">
        <v>347</v>
      </c>
      <c r="G13" s="137" t="s">
        <v>394</v>
      </c>
    </row>
    <row r="14" ht="81.75" customHeight="1">
      <c r="A14" s="138" t="s">
        <v>395</v>
      </c>
      <c r="B14" s="130" t="s">
        <v>396</v>
      </c>
      <c r="C14" s="130" t="s">
        <v>397</v>
      </c>
      <c r="D14" s="104" t="s">
        <v>398</v>
      </c>
      <c r="E14" s="104" t="s">
        <v>399</v>
      </c>
      <c r="F14" s="104" t="s">
        <v>347</v>
      </c>
      <c r="G14" s="139" t="s">
        <v>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conditionalFormatting sqref="F5:F14">
    <cfRule type="containsText" dxfId="3" priority="1" operator="containsText" text="Approved">
      <formula>NOT(ISERROR(SEARCH(("Approved"),(F5))))</formula>
    </cfRule>
  </conditionalFormatting>
  <conditionalFormatting sqref="F5:F14">
    <cfRule type="containsText" dxfId="4" priority="2" operator="containsText" text="Blocked">
      <formula>NOT(ISERROR(SEARCH(("Blocked"),(F5))))</formula>
    </cfRule>
  </conditionalFormatting>
  <conditionalFormatting sqref="F5:F14">
    <cfRule type="containsText" dxfId="6" priority="3" operator="containsText" text="Needs Review">
      <formula>NOT(ISERROR(SEARCH(("Needs Review"),(F5))))</formula>
    </cfRule>
  </conditionalFormatting>
  <dataValidations>
    <dataValidation type="list" allowBlank="1" sqref="F5:F14">
      <formula1>"Not Reviewed,Needs Review,Approved,Blocked"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42.0"/>
    <col customWidth="1" min="3" max="3" width="64.0"/>
    <col customWidth="1" min="4" max="4" width="46.0"/>
    <col customWidth="1" min="5" max="5" width="30.0"/>
    <col customWidth="1" min="6" max="6" width="16.0"/>
    <col customWidth="1" min="7" max="26" width="8.63"/>
  </cols>
  <sheetData>
    <row r="1" ht="42.0" customHeight="1">
      <c r="A1" s="45" t="s">
        <v>401</v>
      </c>
      <c r="B1" s="2"/>
      <c r="C1" s="2"/>
      <c r="D1" s="2"/>
      <c r="E1" s="2"/>
      <c r="F1" s="2"/>
    </row>
    <row r="2" ht="31.5" customHeight="1">
      <c r="A2" s="3" t="s">
        <v>402</v>
      </c>
      <c r="B2" s="4"/>
      <c r="C2" s="4"/>
      <c r="D2" s="4"/>
      <c r="E2" s="4"/>
      <c r="F2" s="4"/>
    </row>
    <row r="3">
      <c r="A3" s="5"/>
      <c r="B3" s="5"/>
      <c r="C3" s="5"/>
      <c r="D3" s="5"/>
      <c r="E3" s="5"/>
      <c r="F3" s="5"/>
    </row>
    <row r="4" ht="33.75" customHeight="1">
      <c r="A4" s="46" t="s">
        <v>403</v>
      </c>
      <c r="B4" s="47" t="s">
        <v>404</v>
      </c>
      <c r="C4" s="47" t="s">
        <v>405</v>
      </c>
      <c r="D4" s="47" t="s">
        <v>406</v>
      </c>
      <c r="E4" s="47" t="s">
        <v>407</v>
      </c>
      <c r="F4" s="48" t="s">
        <v>408</v>
      </c>
    </row>
    <row r="5" ht="63.75" customHeight="1">
      <c r="A5" s="140">
        <v>1.0</v>
      </c>
      <c r="B5" s="141" t="s">
        <v>409</v>
      </c>
      <c r="C5" s="142" t="s">
        <v>410</v>
      </c>
      <c r="D5" s="124"/>
      <c r="E5" s="124"/>
      <c r="F5" s="143">
        <v>2.0</v>
      </c>
    </row>
    <row r="6" ht="63.75" customHeight="1">
      <c r="A6" s="144">
        <v>2.0</v>
      </c>
      <c r="B6" s="145" t="s">
        <v>411</v>
      </c>
      <c r="C6" s="146" t="s">
        <v>412</v>
      </c>
      <c r="D6" s="64"/>
      <c r="E6" s="64"/>
      <c r="F6" s="147">
        <v>2.0</v>
      </c>
    </row>
    <row r="7" ht="63.75" customHeight="1">
      <c r="A7" s="144">
        <v>3.0</v>
      </c>
      <c r="B7" s="145" t="s">
        <v>413</v>
      </c>
      <c r="C7" s="146" t="s">
        <v>414</v>
      </c>
      <c r="D7" s="64"/>
      <c r="E7" s="64"/>
      <c r="F7" s="147">
        <v>2.0</v>
      </c>
    </row>
    <row r="8" ht="63.75" customHeight="1">
      <c r="A8" s="144">
        <v>4.0</v>
      </c>
      <c r="B8" s="145" t="s">
        <v>415</v>
      </c>
      <c r="C8" s="146" t="s">
        <v>416</v>
      </c>
      <c r="D8" s="64"/>
      <c r="E8" s="64"/>
      <c r="F8" s="147">
        <v>2.0</v>
      </c>
    </row>
    <row r="9" ht="63.75" customHeight="1">
      <c r="A9" s="144">
        <v>5.0</v>
      </c>
      <c r="B9" s="145" t="s">
        <v>417</v>
      </c>
      <c r="C9" s="146" t="s">
        <v>418</v>
      </c>
      <c r="D9" s="64"/>
      <c r="E9" s="64"/>
      <c r="F9" s="147">
        <v>2.0</v>
      </c>
    </row>
    <row r="10" ht="63.75" customHeight="1">
      <c r="A10" s="144">
        <v>6.0</v>
      </c>
      <c r="B10" s="145" t="s">
        <v>419</v>
      </c>
      <c r="C10" s="146" t="s">
        <v>420</v>
      </c>
      <c r="D10" s="64"/>
      <c r="E10" s="64"/>
      <c r="F10" s="147">
        <v>2.0</v>
      </c>
    </row>
    <row r="11" ht="63.75" customHeight="1">
      <c r="A11" s="144">
        <v>7.0</v>
      </c>
      <c r="B11" s="145" t="s">
        <v>421</v>
      </c>
      <c r="C11" s="146" t="s">
        <v>422</v>
      </c>
      <c r="D11" s="64"/>
      <c r="E11" s="64"/>
      <c r="F11" s="147">
        <v>2.0</v>
      </c>
    </row>
    <row r="12" ht="63.75" customHeight="1">
      <c r="A12" s="144">
        <v>8.0</v>
      </c>
      <c r="B12" s="145" t="s">
        <v>423</v>
      </c>
      <c r="C12" s="146" t="s">
        <v>424</v>
      </c>
      <c r="D12" s="64"/>
      <c r="E12" s="64"/>
      <c r="F12" s="147">
        <v>2.0</v>
      </c>
    </row>
    <row r="13" ht="63.75" customHeight="1">
      <c r="A13" s="144">
        <v>9.0</v>
      </c>
      <c r="B13" s="145" t="s">
        <v>425</v>
      </c>
      <c r="C13" s="146" t="s">
        <v>426</v>
      </c>
      <c r="D13" s="64"/>
      <c r="E13" s="64"/>
      <c r="F13" s="147">
        <v>2.0</v>
      </c>
    </row>
    <row r="14" ht="63.75" customHeight="1">
      <c r="A14" s="144">
        <v>10.0</v>
      </c>
      <c r="B14" s="145" t="s">
        <v>427</v>
      </c>
      <c r="C14" s="146" t="s">
        <v>428</v>
      </c>
      <c r="D14" s="64"/>
      <c r="E14" s="64"/>
      <c r="F14" s="147">
        <v>2.0</v>
      </c>
    </row>
    <row r="15" ht="63.75" customHeight="1">
      <c r="A15" s="144">
        <v>11.0</v>
      </c>
      <c r="B15" s="145" t="s">
        <v>429</v>
      </c>
      <c r="C15" s="146" t="s">
        <v>430</v>
      </c>
      <c r="D15" s="64"/>
      <c r="E15" s="64"/>
      <c r="F15" s="147">
        <v>2.0</v>
      </c>
    </row>
    <row r="16" ht="63.75" customHeight="1">
      <c r="A16" s="144">
        <v>12.0</v>
      </c>
      <c r="B16" s="145" t="s">
        <v>431</v>
      </c>
      <c r="C16" s="146" t="s">
        <v>432</v>
      </c>
      <c r="D16" s="64"/>
      <c r="E16" s="64"/>
      <c r="F16" s="147">
        <v>2.0</v>
      </c>
    </row>
    <row r="17" ht="63.75" customHeight="1">
      <c r="A17" s="144">
        <v>13.0</v>
      </c>
      <c r="B17" s="145" t="s">
        <v>433</v>
      </c>
      <c r="C17" s="146" t="s">
        <v>434</v>
      </c>
      <c r="D17" s="64"/>
      <c r="E17" s="64"/>
      <c r="F17" s="147">
        <v>2.0</v>
      </c>
    </row>
    <row r="18" ht="63.75" customHeight="1">
      <c r="A18" s="144">
        <v>14.0</v>
      </c>
      <c r="B18" s="145" t="s">
        <v>435</v>
      </c>
      <c r="C18" s="146" t="s">
        <v>436</v>
      </c>
      <c r="D18" s="64"/>
      <c r="E18" s="64"/>
      <c r="F18" s="147">
        <v>2.0</v>
      </c>
    </row>
    <row r="19" ht="63.75" customHeight="1">
      <c r="A19" s="148">
        <v>15.0</v>
      </c>
      <c r="B19" s="149" t="s">
        <v>437</v>
      </c>
      <c r="C19" s="150" t="s">
        <v>438</v>
      </c>
      <c r="D19" s="104"/>
      <c r="E19" s="104"/>
      <c r="F19" s="15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F5:F19">
    <cfRule type="colorScale" priority="1">
      <colorScale>
        <cfvo type="min"/>
        <cfvo type="percentile" val="50"/>
        <cfvo type="max"/>
        <color rgb="FFFCEDEA"/>
        <color rgb="FFFFF7E1"/>
        <color rgb="FFEAF6EE"/>
      </colorScale>
    </cfRule>
  </conditionalFormatting>
  <dataValidations>
    <dataValidation type="decimal" allowBlank="1" sqref="F5:F19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2.0"/>
    <col customWidth="1" min="3" max="3" width="48.0"/>
    <col customWidth="1" min="4" max="4" width="15.0"/>
    <col customWidth="1" min="5" max="5" width="68.0"/>
    <col customWidth="1" min="6" max="26" width="8.63"/>
  </cols>
  <sheetData>
    <row r="1" ht="42.0" customHeight="1">
      <c r="A1" s="45" t="s">
        <v>439</v>
      </c>
      <c r="B1" s="2"/>
      <c r="C1" s="2"/>
      <c r="D1" s="2"/>
      <c r="E1" s="2"/>
    </row>
    <row r="2" ht="31.5" customHeight="1">
      <c r="A2" s="3" t="s">
        <v>440</v>
      </c>
      <c r="B2" s="4"/>
      <c r="C2" s="4"/>
      <c r="D2" s="4"/>
      <c r="E2" s="4"/>
    </row>
    <row r="3">
      <c r="A3" s="5"/>
      <c r="B3" s="5"/>
      <c r="C3" s="5"/>
      <c r="D3" s="5"/>
      <c r="E3" s="5"/>
    </row>
    <row r="4" ht="33.75" customHeight="1">
      <c r="A4" s="46" t="s">
        <v>441</v>
      </c>
      <c r="B4" s="47" t="s">
        <v>442</v>
      </c>
      <c r="C4" s="47" t="s">
        <v>443</v>
      </c>
      <c r="D4" s="47" t="s">
        <v>444</v>
      </c>
      <c r="E4" s="48" t="s">
        <v>445</v>
      </c>
    </row>
    <row r="5" ht="48.0" customHeight="1">
      <c r="A5" s="141" t="s">
        <v>446</v>
      </c>
      <c r="B5" s="120" t="s">
        <v>447</v>
      </c>
      <c r="C5" s="120" t="s">
        <v>448</v>
      </c>
      <c r="D5" s="122" t="s">
        <v>449</v>
      </c>
      <c r="E5" s="135" t="s">
        <v>450</v>
      </c>
    </row>
    <row r="6" ht="48.0" customHeight="1">
      <c r="A6" s="145" t="s">
        <v>446</v>
      </c>
      <c r="B6" s="60" t="s">
        <v>451</v>
      </c>
      <c r="C6" s="60" t="s">
        <v>452</v>
      </c>
      <c r="D6" s="127" t="s">
        <v>303</v>
      </c>
      <c r="E6" s="137" t="s">
        <v>453</v>
      </c>
    </row>
    <row r="7" ht="48.0" customHeight="1">
      <c r="A7" s="145" t="s">
        <v>446</v>
      </c>
      <c r="B7" s="60" t="s">
        <v>454</v>
      </c>
      <c r="C7" s="60" t="s">
        <v>455</v>
      </c>
      <c r="D7" s="127" t="s">
        <v>456</v>
      </c>
      <c r="E7" s="137" t="s">
        <v>457</v>
      </c>
    </row>
    <row r="8" ht="48.0" customHeight="1">
      <c r="A8" s="145" t="s">
        <v>446</v>
      </c>
      <c r="B8" s="60" t="s">
        <v>458</v>
      </c>
      <c r="C8" s="60" t="s">
        <v>459</v>
      </c>
      <c r="D8" s="127" t="s">
        <v>460</v>
      </c>
      <c r="E8" s="137" t="s">
        <v>461</v>
      </c>
    </row>
    <row r="9" ht="48.0" customHeight="1">
      <c r="A9" s="145" t="s">
        <v>81</v>
      </c>
      <c r="B9" s="60" t="s">
        <v>462</v>
      </c>
      <c r="C9" s="60" t="s">
        <v>463</v>
      </c>
      <c r="D9" s="127" t="s">
        <v>464</v>
      </c>
      <c r="E9" s="137" t="s">
        <v>465</v>
      </c>
    </row>
    <row r="10" ht="48.0" customHeight="1">
      <c r="A10" s="145" t="s">
        <v>81</v>
      </c>
      <c r="B10" s="60" t="s">
        <v>466</v>
      </c>
      <c r="C10" s="60" t="s">
        <v>467</v>
      </c>
      <c r="D10" s="127" t="s">
        <v>299</v>
      </c>
      <c r="E10" s="137" t="s">
        <v>468</v>
      </c>
    </row>
    <row r="11" ht="48.0" customHeight="1">
      <c r="A11" s="145" t="s">
        <v>469</v>
      </c>
      <c r="B11" s="60" t="s">
        <v>470</v>
      </c>
      <c r="C11" s="60" t="s">
        <v>471</v>
      </c>
      <c r="D11" s="127" t="s">
        <v>472</v>
      </c>
      <c r="E11" s="137" t="s">
        <v>473</v>
      </c>
    </row>
    <row r="12" ht="48.0" customHeight="1">
      <c r="A12" s="145" t="s">
        <v>469</v>
      </c>
      <c r="B12" s="60" t="s">
        <v>474</v>
      </c>
      <c r="C12" s="60" t="s">
        <v>475</v>
      </c>
      <c r="D12" s="127" t="s">
        <v>476</v>
      </c>
      <c r="E12" s="137" t="s">
        <v>477</v>
      </c>
    </row>
    <row r="13" ht="48.0" customHeight="1">
      <c r="A13" s="145" t="s">
        <v>478</v>
      </c>
      <c r="B13" s="60" t="s">
        <v>479</v>
      </c>
      <c r="C13" s="60" t="s">
        <v>480</v>
      </c>
      <c r="D13" s="127" t="s">
        <v>472</v>
      </c>
      <c r="E13" s="137" t="s">
        <v>481</v>
      </c>
    </row>
    <row r="14" ht="48.0" customHeight="1">
      <c r="A14" s="145" t="s">
        <v>482</v>
      </c>
      <c r="B14" s="60" t="s">
        <v>483</v>
      </c>
      <c r="C14" s="60" t="s">
        <v>484</v>
      </c>
      <c r="D14" s="127" t="s">
        <v>485</v>
      </c>
      <c r="E14" s="137" t="s">
        <v>486</v>
      </c>
    </row>
    <row r="15" ht="48.0" customHeight="1">
      <c r="A15" s="145" t="s">
        <v>487</v>
      </c>
      <c r="B15" s="60" t="s">
        <v>488</v>
      </c>
      <c r="C15" s="60" t="s">
        <v>489</v>
      </c>
      <c r="D15" s="127" t="s">
        <v>490</v>
      </c>
      <c r="E15" s="137" t="s">
        <v>491</v>
      </c>
    </row>
    <row r="16" ht="48.0" customHeight="1">
      <c r="A16" s="145" t="s">
        <v>492</v>
      </c>
      <c r="B16" s="60" t="s">
        <v>493</v>
      </c>
      <c r="C16" s="60" t="s">
        <v>494</v>
      </c>
      <c r="D16" s="127" t="s">
        <v>495</v>
      </c>
      <c r="E16" s="137" t="s">
        <v>359</v>
      </c>
    </row>
    <row r="17" ht="48.0" customHeight="1">
      <c r="A17" s="145" t="s">
        <v>496</v>
      </c>
      <c r="B17" s="60" t="s">
        <v>497</v>
      </c>
      <c r="C17" s="60" t="s">
        <v>498</v>
      </c>
      <c r="D17" s="127" t="s">
        <v>495</v>
      </c>
      <c r="E17" s="137" t="s">
        <v>348</v>
      </c>
    </row>
    <row r="18" ht="48.0" customHeight="1">
      <c r="A18" s="145" t="s">
        <v>499</v>
      </c>
      <c r="B18" s="60" t="s">
        <v>500</v>
      </c>
      <c r="C18" s="60" t="s">
        <v>501</v>
      </c>
      <c r="D18" s="127" t="s">
        <v>495</v>
      </c>
      <c r="E18" s="137" t="s">
        <v>353</v>
      </c>
    </row>
    <row r="19" ht="48.0" customHeight="1">
      <c r="A19" s="145" t="s">
        <v>502</v>
      </c>
      <c r="B19" s="60" t="s">
        <v>503</v>
      </c>
      <c r="C19" s="60" t="s">
        <v>504</v>
      </c>
      <c r="D19" s="127" t="s">
        <v>329</v>
      </c>
      <c r="E19" s="137" t="s">
        <v>382</v>
      </c>
    </row>
    <row r="20" ht="48.0" customHeight="1">
      <c r="A20" s="149" t="s">
        <v>505</v>
      </c>
      <c r="B20" s="130" t="s">
        <v>466</v>
      </c>
      <c r="C20" s="130" t="s">
        <v>506</v>
      </c>
      <c r="D20" s="132" t="s">
        <v>507</v>
      </c>
      <c r="E20" s="139" t="s">
        <v>508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