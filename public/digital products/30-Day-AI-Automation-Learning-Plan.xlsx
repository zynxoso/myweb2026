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bc16ab8de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d19d08f865f4c07"/>
    <x:sheet xmlns:r="http://schemas.openxmlformats.org/officeDocument/2006/relationships" name="30-Day Plan" sheetId="2" r:id="R9e26f4b3069346c8"/>
    <x:sheet xmlns:r="http://schemas.openxmlformats.org/officeDocument/2006/relationships" name="Portfolio Projects" sheetId="3" r:id="R638d1de1c3384251"/>
    <x:sheet xmlns:r="http://schemas.openxmlformats.org/officeDocument/2006/relationships" name="Skills Tracker" sheetId="4" r:id="Rdb1b02137e9a4a37"/>
    <x:sheet xmlns:r="http://schemas.openxmlformats.org/officeDocument/2006/relationships" name="Compliance" sheetId="5" r:id="R28434c694a4e4c92"/>
    <x:sheet xmlns:r="http://schemas.openxmlformats.org/officeDocument/2006/relationships" name="Interview Prep" sheetId="6" r:id="Rf370085d4b23404b"/>
    <x:sheet xmlns:r="http://schemas.openxmlformats.org/officeDocument/2006/relationships" name="Resources" sheetId="7" r:id="R3ae3d2c1f7ed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"/>
    <x:numFmt numFmtId="203" formatCode="0%"/>
  </x:numFmts>
  <x:fonts count="29">
    <x:font>
      <x:sz val="11"/>
      <x:name val="Carlito"/>
    </x:font>
    <x:font>
      <x:b/>
      <x:sz val="19"/>
      <x:color rgb="FFFFFFFF"/>
      <x:name val="Aptos Display"/>
    </x:font>
    <x:font>
      <x:i/>
      <x:sz val="10"/>
      <x:color rgb="FF52606D"/>
      <x:name val="Carlito"/>
    </x:font>
    <x:font>
      <x:b/>
      <x:sz val="10"/>
      <x:color rgb="FFFFFFFF"/>
      <x:name val="Carlito"/>
    </x:font>
    <x:font>
      <x:b/>
      <x:sz val="11"/>
      <x:color rgb="FF102A43"/>
      <x:name val="Carlito"/>
    </x:font>
    <x:font>
      <x:b/>
      <x:sz val="9"/>
      <x:color rgb="FFFFFFFF"/>
      <x:name val="Carlito"/>
    </x:font>
    <x:font>
      <x:b/>
      <x:sz val="20"/>
      <x:color rgb="FF2F6BFF"/>
      <x:name val="Carlito"/>
    </x:font>
    <x:font>
      <x:sz val="11"/>
      <x:color rgb="FF102A43"/>
      <x:name val="Carlito"/>
    </x:font>
    <x:font>
      <x:i/>
      <x:sz val="9"/>
      <x:color rgb="FF52606D"/>
      <x:name val="Carlito"/>
    </x:font>
    <x:font>
      <x:b/>
      <x:sz val="19"/>
      <x:color rgb="FFFFFFFF"/>
      <x:name val="Aptos"/>
    </x:font>
    <x:font>
      <x:i/>
      <x:sz val="10"/>
      <x:color rgb="FF52606D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b/>
      <x:sz val="11"/>
      <x:color rgb="FF102A43"/>
      <x:name val="Aptos"/>
    </x:font>
    <x:font>
      <x:b/>
      <x:sz val="20"/>
      <x:color rgb="FF2F6BFF"/>
      <x:name val="Aptos"/>
    </x:font>
    <x:font>
      <x:sz val="11"/>
      <x:color rgb="FF102A43"/>
      <x:name val="Aptos"/>
    </x:font>
    <x:font>
      <x:i/>
      <x:sz val="9"/>
      <x:color rgb="FF52606D"/>
      <x:name val="Aptos"/>
    </x:font>
    <x:font>
      <x:sz val="10"/>
      <x:color rgb="FF243746"/>
      <x:name val="Carlito"/>
    </x:font>
    <x:font>
      <x:sz val="10"/>
      <x:color rgb="FF52606D"/>
      <x:name val="Carlito"/>
    </x:font>
    <x:font>
      <x:b/>
      <x:sz val="10"/>
      <x:color rgb="FF102A43"/>
      <x:name val="Carlito"/>
    </x:font>
    <x:font>
      <x:sz val="9"/>
      <x:color rgb="FF2F6BFF"/>
      <x:name val="Carlito"/>
    </x:font>
    <x:font>
      <x:sz val="10"/>
      <x:color rgb="FF102A43"/>
      <x:name val="Carlito"/>
    </x:font>
    <x:font>
      <x:sz val="10"/>
      <x:color rgb="FF2F6BFF"/>
      <x:name val="Carlito"/>
    </x:font>
    <x:font>
      <x:sz val="10"/>
      <x:color rgb="FF52606D"/>
      <x:name val="Aptos"/>
    </x:font>
    <x:font>
      <x:sz val="10"/>
      <x:color rgb="FF243746"/>
      <x:name val="Aptos"/>
    </x:font>
    <x:font>
      <x:b/>
      <x:sz val="10"/>
      <x:color rgb="FF102A43"/>
      <x:name val="Aptos"/>
    </x:font>
    <x:font>
      <x:sz val="9"/>
      <x:color rgb="FF2F6BFF"/>
      <x:name val="Aptos"/>
    </x:font>
    <x:font>
      <x:sz val="10"/>
      <x:color rgb="FF102A43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FFF"/>
      </x:patternFill>
    </x:fill>
    <x:fill>
      <x:patternFill patternType="solid">
        <x:fgColor rgb="FF147D73"/>
      </x:patternFill>
    </x:fill>
    <x:fill>
      <x:patternFill patternType="solid">
        <x:fgColor rgb="FFF4F7FA"/>
      </x:patternFill>
    </x:fill>
    <x:fill>
      <x:patternFill patternType="solid">
        <x:fgColor rgb="FFFFF7E1"/>
      </x:patternFill>
    </x:fill>
    <x:fill>
      <x:patternFill patternType="solid">
        <x:fgColor rgb="FFEEF4FF"/>
      </x:patternFill>
    </x:fill>
    <x:fill>
      <x:patternFill patternType="solid">
        <x:fgColor rgb="FFE9F7F3"/>
      </x:patternFill>
    </x:fill>
    <x:fill>
      <x:patternFill patternType="solid">
        <x:fgColor rgb="FF6D5BD0"/>
      </x:patternFill>
    </x:fill>
    <x:fill>
      <x:patternFill patternType="solid">
        <x:fgColor rgb="FFF1EEFF"/>
      </x:patternFill>
    </x:fill>
    <x:fill>
      <x:patternFill patternType="solid">
        <x:fgColor rgb="FFC65D4B"/>
      </x:patternFill>
    </x:fill>
    <x:fill>
      <x:patternFill patternType="solid">
        <x:fgColor rgb="FFFCEFEB"/>
      </x:patternFill>
    </x:fill>
    <x:fill>
      <x:patternFill patternType="solid">
        <x:fgColor rgb="FFD6A847"/>
      </x:patternFill>
    </x:fill>
    <x:fill>
      <x:patternFill patternType="solid">
        <x:fgColor rgb="FFEAF6EE"/>
      </x:patternFill>
    </x:fill>
    <x:fill>
      <x:patternFill patternType="solid">
        <x:fgColor rgb="FFFCEDEA"/>
      </x:patternFill>
    </x:fill>
  </x:fills>
  <x:borders count="19">
    <x:border/>
    <x:border>
      <x:bottom style="thick">
        <x:color rgb="FFD6A847"/>
      </x:bottom>
    </x:border>
    <x:border>
      <x:bottom style="thin">
        <x:color rgb="FFD9E2EC"/>
      </x:bottom>
    </x:border>
    <x:border>
      <x:bottom style="medium">
        <x:color rgb="FF102A43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bottom style="medium">
        <x:color rgb="FFD6A847"/>
      </x:bottom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right style="thin">
        <x:color rgb="FF72B5AE"/>
      </x:right>
      <x:bottom style="medium">
        <x:color rgb="FF102A43"/>
      </x:bottom>
    </x:border>
    <x:border>
      <x:left style="thin">
        <x:color rgb="FF72B5AE"/>
      </x:left>
      <x:right style="thin">
        <x:color rgb="FF72B5AE"/>
      </x:right>
      <x:bottom style="medium">
        <x:color rgb="FF102A43"/>
      </x:bottom>
    </x:border>
    <x:border>
      <x:left style="thin">
        <x:color rgb="FF72B5AE"/>
      </x:left>
      <x:bottom style="medium">
        <x:color rgb="FF102A43"/>
      </x:bottom>
    </x:border>
    <x:border>
      <x:top style="medium">
        <x:color rgb="FFD6A847"/>
      </x:top>
      <x:bottom style="medium">
        <x:color rgb="FFD6A847"/>
      </x:bottom>
    </x:border>
    <x:border>
      <x:top style="thick">
        <x:color rgb="FF102A43"/>
      </x:top>
      <x:bottom style="thin">
        <x:color rgb="FFD9E2EC"/>
      </x:bottom>
    </x:border>
    <x:border>
      <x:top style="thick">
        <x:color rgb="FF102A43"/>
      </x:top>
      <x:bottom style="medium">
        <x:color rgb="FFD6A847"/>
      </x:bottom>
    </x:border>
    <x:border>
      <x:bottom style="medium">
        <x:color rgb="FFD9E2EC"/>
      </x:bottom>
    </x:border>
    <x:border>
      <x:top style="thin">
        <x:color rgb="FFD9E2EC"/>
      </x:top>
      <x:bottom style="medium">
        <x:color rgb="FFD9E2EC"/>
      </x:bottom>
    </x:border>
  </x:borders>
  <x:cellStyleXfs count="1">
    <x:xf numFmtId="0" fontId="0" fillId="0" borderId="0"/>
  </x:cellStyleXfs>
  <x:cellXfs count="5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201" fontId="4" fillId="6" borderId="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202" fontId="6" fillId="7" borderId="2" xfId="0" applyNumberFormat="1" applyFont="1" applyFill="1" applyBorder="1"/>
    <x:xf numFmtId="202" fontId="6" fillId="7" borderId="2" xfId="0" applyNumberFormat="1" applyFont="1" applyFill="1" applyBorder="1" applyAlignment="1">
      <x:alignment horizontal="center"/>
    </x:xf>
    <x:xf numFmtId="202" fontId="6" fillId="7" borderId="2" xfId="0" applyNumberFormat="1" applyFont="1" applyFill="1" applyBorder="1" applyAlignment="1">
      <x:alignment horizontal="center" vertical="center"/>
    </x:xf>
    <x:xf numFmtId="203" fontId="6" fillId="7" borderId="2" xfId="0" applyNumberFormat="1" applyFont="1" applyFill="1" applyBorder="1"/>
    <x:xf numFmtId="203" fontId="6" fillId="7" borderId="2" xfId="0" applyNumberFormat="1" applyFont="1" applyFill="1" applyBorder="1" applyAlignment="1">
      <x:alignment horizontal="center"/>
    </x:xf>
    <x:xf numFmtId="203" fontId="6" fillId="7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6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 wrapText="1"/>
    </x:xf>
    <x:xf numFmtId="0" fontId="5" fillId="9" borderId="2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horizontal="center" vertical="center"/>
    </x:xf>
    <x:xf numFmtId="0" fontId="7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center" wrapText="1"/>
    </x:xf>
    <x:xf numFmtId="0" fontId="5" fillId="11" borderId="2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horizontal="center" vertical="center"/>
    </x:xf>
    <x:xf numFmtId="0" fontId="7" fillId="12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5" fillId="13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7" fillId="7" borderId="2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5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/>
    <x:xf numFmtId="0" fontId="7" fillId="5" borderId="10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5" xfId="0" applyNumberFormat="1" applyFont="1" applyFill="1" applyBorder="1" applyAlignment="1">
      <x:alignment horizontal="center" wrapText="1"/>
    </x:xf>
    <x:xf numFmtId="0" fontId="7" fillId="5" borderId="8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horizontal="center" wrapText="1"/>
    </x:xf>
    <x:xf numFmtId="0" fontId="7" fillId="5" borderId="2" xfId="0" applyNumberFormat="1" applyFont="1" applyFill="1" applyBorder="1" applyAlignment="1">
      <x:alignment horizontal="center" wrapText="1"/>
    </x:xf>
    <x:xf numFmtId="0" fontId="7" fillId="5" borderId="10" xfId="0" applyNumberFormat="1" applyFont="1" applyFill="1" applyBorder="1" applyAlignment="1">
      <x:alignment horizont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10" fillId="3" borderId="2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3" xfId="0" applyNumberFormat="1" applyFont="1" applyFill="1" applyBorder="1"/>
    <x:xf numFmtId="0" fontId="13" fillId="2" borderId="0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vertical="center"/>
    </x:xf>
    <x:xf numFmtId="200" fontId="14" fillId="6" borderId="2" xfId="0" applyNumberFormat="1" applyFont="1" applyFill="1" applyBorder="1" applyAlignment="1">
      <x:alignment vertical="center" wrapText="1"/>
    </x:xf>
    <x:xf numFmtId="202" fontId="15" fillId="7" borderId="2" xfId="0" applyNumberFormat="1" applyFont="1" applyFill="1" applyBorder="1" applyAlignment="1">
      <x:alignment horizontal="center" vertical="center"/>
    </x:xf>
    <x:xf numFmtId="203" fontId="15" fillId="7" borderId="2" xfId="0" applyNumberFormat="1" applyFont="1" applyFill="1" applyBorder="1" applyAlignment="1">
      <x:alignment horizontal="center" vertical="center"/>
    </x:xf>
    <x:xf numFmtId="0" fontId="14" fillId="5" borderId="4" xfId="0" applyNumberFormat="1" applyFont="1" applyFill="1" applyBorder="1" applyAlignment="1">
      <x:alignment vertical="center"/>
    </x:xf>
    <x:xf numFmtId="201" fontId="14" fillId="6" borderId="4" xfId="0" applyNumberFormat="1" applyFont="1" applyFill="1" applyBorder="1" applyAlignment="1">
      <x:alignment vertical="center" wrapText="1"/>
    </x:xf>
    <x:xf numFmtId="0" fontId="14" fillId="5" borderId="5" xfId="0" applyNumberFormat="1" applyFont="1" applyFill="1" applyBorder="1" applyAlignment="1">
      <x:alignment vertical="center"/>
    </x:xf>
    <x:xf numFmtId="0" fontId="14" fillId="6" borderId="5" xfId="0" applyNumberFormat="1" applyFont="1" applyFill="1" applyBorder="1" applyAlignment="1">
      <x:alignment vertical="center" wrapText="1"/>
    </x:xf>
    <x:xf numFmtId="0" fontId="12" fillId="2" borderId="6" xfId="0" applyNumberFormat="1" applyFont="1" applyFill="1" applyBorder="1"/>
    <x:xf numFmtId="0" fontId="13" fillId="4" borderId="2" xfId="0" applyNumberFormat="1" applyFont="1" applyFill="1" applyBorder="1" applyAlignment="1">
      <x:alignment vertical="center"/>
    </x:xf>
    <x:xf numFmtId="0" fontId="14" fillId="8" borderId="2" xfId="0" applyNumberFormat="1" applyFont="1" applyFill="1" applyBorder="1" applyAlignment="1">
      <x:alignment horizontal="center" vertical="center"/>
    </x:xf>
    <x:xf numFmtId="0" fontId="16" fillId="8" borderId="2" xfId="0" applyNumberFormat="1" applyFont="1" applyFill="1" applyBorder="1" applyAlignment="1">
      <x:alignment vertical="center" wrapText="1"/>
    </x:xf>
    <x:xf numFmtId="0" fontId="13" fillId="9" borderId="2" xfId="0" applyNumberFormat="1" applyFont="1" applyFill="1" applyBorder="1" applyAlignment="1">
      <x:alignment vertical="center"/>
    </x:xf>
    <x:xf numFmtId="0" fontId="14" fillId="10" borderId="2" xfId="0" applyNumberFormat="1" applyFont="1" applyFill="1" applyBorder="1" applyAlignment="1">
      <x:alignment horizontal="center" vertical="center"/>
    </x:xf>
    <x:xf numFmtId="0" fontId="16" fillId="10" borderId="2" xfId="0" applyNumberFormat="1" applyFont="1" applyFill="1" applyBorder="1" applyAlignment="1">
      <x:alignment vertical="center" wrapText="1"/>
    </x:xf>
    <x:xf numFmtId="0" fontId="13" fillId="11" borderId="2" xfId="0" applyNumberFormat="1" applyFont="1" applyFill="1" applyBorder="1" applyAlignment="1">
      <x:alignment vertical="center"/>
    </x:xf>
    <x:xf numFmtId="0" fontId="14" fillId="12" borderId="2" xfId="0" applyNumberFormat="1" applyFont="1" applyFill="1" applyBorder="1" applyAlignment="1">
      <x:alignment horizontal="center" vertical="center"/>
    </x:xf>
    <x:xf numFmtId="0" fontId="16" fillId="12" borderId="2" xfId="0" applyNumberFormat="1" applyFont="1" applyFill="1" applyBorder="1" applyAlignment="1">
      <x:alignment vertical="center" wrapText="1"/>
    </x:xf>
    <x:xf numFmtId="0" fontId="13" fillId="13" borderId="2" xfId="0" applyNumberFormat="1" applyFont="1" applyFill="1" applyBorder="1" applyAlignment="1">
      <x:alignment vertical="center"/>
    </x:xf>
    <x:xf numFmtId="0" fontId="14" fillId="6" borderId="2" xfId="0" applyNumberFormat="1" applyFont="1" applyFill="1" applyBorder="1" applyAlignment="1">
      <x:alignment horizontal="center" vertical="center"/>
    </x:xf>
    <x:xf numFmtId="0" fontId="16" fillId="6" borderId="2" xfId="0" applyNumberFormat="1" applyFont="1" applyFill="1" applyBorder="1" applyAlignment="1">
      <x:alignment vertical="center" wrapText="1"/>
    </x:xf>
    <x:xf numFmtId="0" fontId="13" fillId="2" borderId="2" xfId="0" applyNumberFormat="1" applyFont="1" applyFill="1" applyBorder="1" applyAlignment="1">
      <x:alignment vertical="center"/>
    </x:xf>
    <x:xf numFmtId="0" fontId="14" fillId="7" borderId="2" xfId="0" applyNumberFormat="1" applyFont="1" applyFill="1" applyBorder="1" applyAlignment="1">
      <x:alignment horizontal="center" vertical="center"/>
    </x:xf>
    <x:xf numFmtId="0" fontId="16" fillId="7" borderId="2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6" fillId="5" borderId="7" xfId="0" applyNumberFormat="1" applyFont="1" applyFill="1" applyBorder="1" applyAlignment="1">
      <x:alignment horizontal="center" vertical="center" wrapText="1"/>
    </x:xf>
    <x:xf numFmtId="0" fontId="16" fillId="5" borderId="5" xfId="0" applyNumberFormat="1" applyFont="1" applyFill="1" applyBorder="1" applyAlignment="1">
      <x:alignment horizontal="center" vertical="center" wrapText="1"/>
    </x:xf>
    <x:xf numFmtId="0" fontId="16" fillId="5" borderId="8" xfId="0" applyNumberFormat="1" applyFont="1" applyFill="1" applyBorder="1" applyAlignment="1">
      <x:alignment horizontal="center" vertical="center" wrapText="1"/>
    </x:xf>
    <x:xf numFmtId="0" fontId="16" fillId="5" borderId="9" xfId="0" applyNumberFormat="1" applyFont="1" applyFill="1" applyBorder="1" applyAlignment="1">
      <x:alignment horizontal="center" vertical="center" wrapText="1"/>
    </x:xf>
    <x:xf numFmtId="0" fontId="16" fillId="5" borderId="2" xfId="0" applyNumberFormat="1" applyFont="1" applyFill="1" applyBorder="1" applyAlignment="1">
      <x:alignment horizontal="center" vertical="center" wrapText="1"/>
    </x:xf>
    <x:xf numFmtId="0" fontId="16" fillId="5" borderId="1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/>
    <x:xf numFmtId="0" fontId="16" fillId="3" borderId="2" xfId="0" applyNumberFormat="1" applyFont="1" applyFill="1" applyBorder="1" applyAlignment="1">
      <x:alignment vertical="center"/>
    </x:xf>
    <x:xf numFmtId="0" fontId="16" fillId="5" borderId="2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/>
    <x:xf numFmtId="0" fontId="18" fillId="0" borderId="2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2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2" xfId="0" applyNumberFormat="1" applyFont="1" applyFill="1" applyBorder="1" applyAlignment="1">
      <x:alignment vertical="top"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5" borderId="2" xfId="0" applyNumberFormat="1" applyFont="1" applyFill="1" applyBorder="1" applyAlignment="1">
      <x:alignment vertical="top" wrapText="1"/>
    </x:xf>
    <x:xf numFmtId="0" fontId="18" fillId="5" borderId="4" xfId="0" applyNumberFormat="1" applyFont="1" applyFill="1" applyBorder="1" applyAlignment="1">
      <x:alignment vertical="top" wrapText="1"/>
    </x:xf>
    <x:xf numFmtId="0" fontId="18" fillId="5" borderId="5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19" fillId="5" borderId="2" xfId="0" applyNumberFormat="1" applyFont="1" applyFill="1" applyBorder="1" applyAlignment="1">
      <x:alignment vertical="top" wrapText="1"/>
    </x:xf>
    <x:xf numFmtId="0" fontId="19" fillId="5" borderId="4" xfId="0" applyNumberFormat="1" applyFont="1" applyFill="1" applyBorder="1" applyAlignment="1">
      <x:alignment vertical="top" wrapText="1"/>
    </x:xf>
    <x:xf numFmtId="0" fontId="19" fillId="5" borderId="5" xfId="0" applyNumberFormat="1" applyFont="1" applyFill="1" applyBorder="1" applyAlignment="1">
      <x:alignment vertical="top" wrapText="1"/>
    </x:xf>
    <x:xf numFmtId="201" fontId="19" fillId="5" borderId="2" xfId="0" applyNumberFormat="1" applyFont="1" applyFill="1" applyBorder="1" applyAlignment="1">
      <x:alignment vertical="top" wrapText="1"/>
    </x:xf>
    <x:xf numFmtId="201" fontId="19" fillId="5" borderId="4" xfId="0" applyNumberFormat="1" applyFont="1" applyFill="1" applyBorder="1" applyAlignment="1">
      <x:alignment vertical="top" wrapText="1"/>
    </x:xf>
    <x:xf numFmtId="201" fontId="19" fillId="5" borderId="5" xfId="0" applyNumberFormat="1" applyFont="1" applyFill="1" applyBorder="1" applyAlignment="1">
      <x:alignment vertical="top" wrapText="1"/>
    </x:xf>
    <x:xf numFmtId="201" fontId="19" fillId="5" borderId="2" xfId="0" applyNumberFormat="1" applyFont="1" applyFill="1" applyBorder="1" applyAlignment="1">
      <x:alignment horizontal="center" vertical="top" wrapText="1"/>
    </x:xf>
    <x:xf numFmtId="201" fontId="19" fillId="5" borderId="4" xfId="0" applyNumberFormat="1" applyFont="1" applyFill="1" applyBorder="1" applyAlignment="1">
      <x:alignment horizontal="center" vertical="top" wrapText="1"/>
    </x:xf>
    <x:xf numFmtId="201" fontId="19" fillId="5" borderId="5" xfId="0" applyNumberFormat="1" applyFont="1" applyFill="1" applyBorder="1" applyAlignment="1">
      <x:alignment horizontal="center" vertical="top" wrapText="1"/>
    </x:xf>
    <x:xf numFmtId="201" fontId="19" fillId="5" borderId="2" xfId="0" applyNumberFormat="1" applyFont="1" applyFill="1" applyBorder="1" applyAlignment="1">
      <x:alignment horizontal="center" vertical="center" wrapText="1"/>
    </x:xf>
    <x:xf numFmtId="201" fontId="19" fillId="5" borderId="4" xfId="0" applyNumberFormat="1" applyFont="1" applyFill="1" applyBorder="1" applyAlignment="1">
      <x:alignment horizontal="center" vertical="center" wrapText="1"/>
    </x:xf>
    <x:xf numFmtId="201" fontId="19" fillId="5" borderId="5" xfId="0" applyNumberFormat="1" applyFont="1" applyFill="1" applyBorder="1" applyAlignment="1">
      <x:alignment horizontal="center" vertical="center" wrapText="1"/>
    </x:xf>
    <x:xf numFmtId="200" fontId="18" fillId="0" borderId="2" xfId="0" applyNumberFormat="1" applyFont="1" applyFill="1" applyBorder="1" applyAlignment="1">
      <x:alignment vertical="top" wrapText="1"/>
    </x:xf>
    <x:xf numFmtId="200" fontId="18" fillId="0" borderId="4" xfId="0" applyNumberFormat="1" applyFont="1" applyFill="1" applyBorder="1" applyAlignment="1">
      <x:alignment vertical="top" wrapText="1"/>
    </x:xf>
    <x:xf numFmtId="200" fontId="18" fillId="0" borderId="5" xfId="0" applyNumberFormat="1" applyFont="1" applyFill="1" applyBorder="1" applyAlignment="1">
      <x:alignment vertical="top" wrapText="1"/>
    </x:xf>
    <x:xf numFmtId="202" fontId="18" fillId="0" borderId="2" xfId="0" applyNumberFormat="1" applyFont="1" applyFill="1" applyBorder="1" applyAlignment="1">
      <x:alignment vertical="top" wrapText="1"/>
    </x:xf>
    <x:xf numFmtId="202" fontId="18" fillId="0" borderId="4" xfId="0" applyNumberFormat="1" applyFont="1" applyFill="1" applyBorder="1" applyAlignment="1">
      <x:alignment vertical="top" wrapText="1"/>
    </x:xf>
    <x:xf numFmtId="202" fontId="18" fillId="0" borderId="5" xfId="0" applyNumberFormat="1" applyFont="1" applyFill="1" applyBorder="1" applyAlignment="1">
      <x:alignment vertical="top" wrapText="1"/>
    </x:xf>
    <x:xf numFmtId="0" fontId="18" fillId="6" borderId="2" xfId="0" applyNumberFormat="1" applyFont="1" applyFill="1" applyBorder="1" applyAlignment="1">
      <x:alignment vertical="top" wrapText="1"/>
    </x:xf>
    <x:xf numFmtId="0" fontId="18" fillId="6" borderId="4" xfId="0" applyNumberFormat="1" applyFont="1" applyFill="1" applyBorder="1" applyAlignment="1">
      <x:alignment vertical="top" wrapText="1"/>
    </x:xf>
    <x:xf numFmtId="0" fontId="18" fillId="6" borderId="5" xfId="0" applyNumberFormat="1" applyFont="1" applyFill="1" applyBorder="1" applyAlignment="1">
      <x:alignment vertical="top" wrapText="1"/>
    </x:xf>
    <x:xf numFmtId="0" fontId="18" fillId="6" borderId="2" xfId="0" applyNumberFormat="1" applyFont="1" applyFill="1" applyBorder="1" applyAlignment="1">
      <x:alignment horizontal="center" vertical="top" wrapText="1"/>
    </x:xf>
    <x:xf numFmtId="0" fontId="18" fillId="6" borderId="4" xfId="0" applyNumberFormat="1" applyFont="1" applyFill="1" applyBorder="1" applyAlignment="1">
      <x:alignment horizontal="center" vertical="top" wrapText="1"/>
    </x:xf>
    <x:xf numFmtId="0" fontId="18" fillId="6" borderId="5" xfId="0" applyNumberFormat="1" applyFont="1" applyFill="1" applyBorder="1" applyAlignment="1">
      <x:alignment horizontal="center" vertical="top" wrapText="1"/>
    </x:xf>
    <x:xf numFmtId="0" fontId="18" fillId="6" borderId="2" xfId="0" applyNumberFormat="1" applyFont="1" applyFill="1" applyBorder="1" applyAlignment="1">
      <x:alignment horizontal="center" vertical="center" wrapText="1"/>
    </x:xf>
    <x:xf numFmtId="0" fontId="18" fillId="6" borderId="4" xfId="0" applyNumberFormat="1" applyFont="1" applyFill="1" applyBorder="1" applyAlignment="1">
      <x:alignment horizontal="center" vertical="center" wrapText="1"/>
    </x:xf>
    <x:xf numFmtId="0" fontId="18" fillId="6" borderId="5" xfId="0" applyNumberFormat="1" applyFont="1" applyFill="1" applyBorder="1" applyAlignment="1">
      <x:alignment horizontal="center" vertical="center" wrapText="1"/>
    </x:xf>
    <x:xf numFmtId="202" fontId="18" fillId="6" borderId="2" xfId="0" applyNumberFormat="1" applyFont="1" applyFill="1" applyBorder="1" applyAlignment="1">
      <x:alignment vertical="top" wrapText="1"/>
    </x:xf>
    <x:xf numFmtId="202" fontId="18" fillId="6" borderId="4" xfId="0" applyNumberFormat="1" applyFont="1" applyFill="1" applyBorder="1" applyAlignment="1">
      <x:alignment vertical="top" wrapText="1"/>
    </x:xf>
    <x:xf numFmtId="202" fontId="18" fillId="6" borderId="5" xfId="0" applyNumberFormat="1" applyFont="1" applyFill="1" applyBorder="1" applyAlignment="1">
      <x:alignment vertical="top" wrapText="1"/>
    </x:xf>
    <x:xf numFmtId="202" fontId="18" fillId="6" borderId="2" xfId="0" applyNumberFormat="1" applyFont="1" applyFill="1" applyBorder="1" applyAlignment="1">
      <x:alignment horizontal="center" vertical="top" wrapText="1"/>
    </x:xf>
    <x:xf numFmtId="202" fontId="18" fillId="6" borderId="4" xfId="0" applyNumberFormat="1" applyFont="1" applyFill="1" applyBorder="1" applyAlignment="1">
      <x:alignment horizontal="center" vertical="top" wrapText="1"/>
    </x:xf>
    <x:xf numFmtId="202" fontId="18" fillId="6" borderId="5" xfId="0" applyNumberFormat="1" applyFont="1" applyFill="1" applyBorder="1" applyAlignment="1">
      <x:alignment horizontal="center" vertical="top" wrapText="1"/>
    </x:xf>
    <x:xf numFmtId="202" fontId="18" fillId="6" borderId="2" xfId="0" applyNumberFormat="1" applyFont="1" applyFill="1" applyBorder="1" applyAlignment="1">
      <x:alignment horizontal="center" vertical="center" wrapText="1"/>
    </x:xf>
    <x:xf numFmtId="202" fontId="18" fillId="6" borderId="4" xfId="0" applyNumberFormat="1" applyFont="1" applyFill="1" applyBorder="1" applyAlignment="1">
      <x:alignment horizontal="center" vertical="center" wrapText="1"/>
    </x:xf>
    <x:xf numFmtId="202" fontId="18" fillId="6" borderId="5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201" fontId="19" fillId="3" borderId="2" xfId="0" applyNumberFormat="1" applyFont="1" applyFill="1" applyBorder="1" applyAlignment="1">
      <x:alignment horizontal="center" vertical="center" wrapText="1"/>
    </x:xf>
    <x:xf numFmtId="0" fontId="18" fillId="3" borderId="2" xfId="0" applyNumberFormat="1" applyFont="1" applyFill="1" applyBorder="1" applyAlignment="1">
      <x:alignment vertical="top" wrapText="1"/>
    </x:xf>
    <x:xf numFmtId="200" fontId="18" fillId="3" borderId="2" xfId="0" applyNumberFormat="1" applyFont="1" applyFill="1" applyBorder="1" applyAlignment="1">
      <x:alignment vertical="top" wrapText="1"/>
    </x:xf>
    <x:xf numFmtId="0" fontId="18" fillId="3" borderId="2" xfId="0" applyNumberFormat="1" applyFont="1" applyFill="1" applyBorder="1" applyAlignment="1">
      <x:alignment horizontal="center" vertical="center" wrapText="1"/>
    </x:xf>
    <x:xf numFmtId="202" fontId="18" fillId="3" borderId="2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201" fontId="19" fillId="3" borderId="4" xfId="0" applyNumberFormat="1" applyFont="1" applyFill="1" applyBorder="1" applyAlignment="1">
      <x:alignment horizontal="center" vertical="center" wrapText="1"/>
    </x:xf>
    <x:xf numFmtId="0" fontId="18" fillId="3" borderId="4" xfId="0" applyNumberFormat="1" applyFont="1" applyFill="1" applyBorder="1" applyAlignment="1">
      <x:alignment vertical="top" wrapText="1"/>
    </x:xf>
    <x:xf numFmtId="200" fontId="18" fillId="3" borderId="4" xfId="0" applyNumberFormat="1" applyFont="1" applyFill="1" applyBorder="1" applyAlignment="1">
      <x:alignment vertical="top" wrapText="1"/>
    </x:xf>
    <x:xf numFmtId="0" fontId="18" fillId="3" borderId="4" xfId="0" applyNumberFormat="1" applyFont="1" applyFill="1" applyBorder="1" applyAlignment="1">
      <x:alignment horizontal="center" vertical="center" wrapText="1"/>
    </x:xf>
    <x:xf numFmtId="202" fontId="18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201" fontId="19" fillId="3" borderId="5" xfId="0" applyNumberFormat="1" applyFont="1" applyFill="1" applyBorder="1" applyAlignment="1">
      <x:alignment horizontal="center" vertical="center" wrapText="1"/>
    </x:xf>
    <x:xf numFmtId="0" fontId="18" fillId="3" borderId="5" xfId="0" applyNumberFormat="1" applyFont="1" applyFill="1" applyBorder="1" applyAlignment="1">
      <x:alignment vertical="top" wrapText="1"/>
    </x:xf>
    <x:xf numFmtId="200" fontId="18" fillId="3" borderId="5" xfId="0" applyNumberFormat="1" applyFont="1" applyFill="1" applyBorder="1" applyAlignment="1">
      <x:alignment vertical="top" wrapText="1"/>
    </x:xf>
    <x:xf numFmtId="0" fontId="18" fillId="3" borderId="5" xfId="0" applyNumberFormat="1" applyFont="1" applyFill="1" applyBorder="1" applyAlignment="1">
      <x:alignment horizontal="center" vertical="center" wrapText="1"/>
    </x:xf>
    <x:xf numFmtId="202" fontId="18" fillId="3" borderId="5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vertical="top" wrapText="1"/>
    </x:xf>
    <x:xf numFmtId="0" fontId="18" fillId="4" borderId="4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201" fontId="19" fillId="8" borderId="2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201" fontId="19" fillId="8" borderId="4" xfId="0" applyNumberFormat="1" applyFont="1" applyFill="1" applyBorder="1" applyAlignment="1">
      <x:alignment horizontal="center" vertical="center" wrapText="1"/>
    </x:xf>
    <x:xf numFmtId="0" fontId="18" fillId="9" borderId="4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201" fontId="19" fillId="10" borderId="4" xfId="0" applyNumberFormat="1" applyFont="1" applyFill="1" applyBorder="1" applyAlignment="1">
      <x:alignment horizontal="center" vertical="center" wrapText="1"/>
    </x:xf>
    <x:xf numFmtId="0" fontId="18" fillId="11" borderId="4" xfId="0" applyNumberFormat="1" applyFont="1" applyFill="1" applyBorder="1" applyAlignment="1">
      <x:alignment vertical="top" wrapText="1"/>
    </x:xf>
    <x:xf numFmtId="0" fontId="5" fillId="11" borderId="4" xfId="0" applyNumberFormat="1" applyFont="1" applyFill="1" applyBorder="1" applyAlignment="1">
      <x:alignment vertical="top" wrapText="1"/>
    </x:xf>
    <x:xf numFmtId="0" fontId="5" fillId="11" borderId="4" xfId="0" applyNumberFormat="1" applyFont="1" applyFill="1" applyBorder="1" applyAlignment="1">
      <x:alignment vertical="center" wrapText="1"/>
    </x:xf>
    <x:xf numFmtId="0" fontId="4" fillId="12" borderId="4" xfId="0" applyNumberFormat="1" applyFont="1" applyFill="1" applyBorder="1" applyAlignment="1">
      <x:alignment horizontal="center" vertical="center" wrapText="1"/>
    </x:xf>
    <x:xf numFmtId="201" fontId="19" fillId="12" borderId="4" xfId="0" applyNumberFormat="1" applyFont="1" applyFill="1" applyBorder="1" applyAlignment="1">
      <x:alignment horizontal="center" vertical="center" wrapText="1"/>
    </x:xf>
    <x:xf numFmtId="0" fontId="18" fillId="13" borderId="4" xfId="0" applyNumberFormat="1" applyFont="1" applyFill="1" applyBorder="1" applyAlignment="1">
      <x:alignment vertical="top" wrapText="1"/>
    </x:xf>
    <x:xf numFmtId="0" fontId="5" fillId="13" borderId="4" xfId="0" applyNumberFormat="1" applyFont="1" applyFill="1" applyBorder="1" applyAlignment="1">
      <x:alignment vertical="top" wrapText="1"/>
    </x:xf>
    <x:xf numFmtId="0" fontId="5" fillId="13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201" fontId="19" fillId="6" borderId="4" xfId="0" applyNumberFormat="1" applyFont="1" applyFill="1" applyBorder="1" applyAlignment="1">
      <x:alignment horizontal="center" vertical="center" wrapText="1"/>
    </x:xf>
    <x:xf numFmtId="0" fontId="18" fillId="2" borderId="4" xfId="0" applyNumberFormat="1" applyFont="1" applyFill="1" applyBorder="1" applyAlignment="1">
      <x:alignment vertical="top" wrapText="1"/>
    </x:xf>
    <x:xf numFmtId="0" fontId="18" fillId="2" borderId="5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201" fontId="19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201" fontId="19" fillId="7" borderId="5" xfId="0" applyNumberFormat="1" applyFont="1" applyFill="1" applyBorder="1" applyAlignment="1">
      <x:alignment horizontal="center" vertical="center" wrapText="1"/>
    </x:xf>
    <x:xf numFmtId="200" fontId="18" fillId="6" borderId="4" xfId="0" applyNumberFormat="1" applyFont="1" applyFill="1" applyBorder="1" applyAlignment="1">
      <x:alignment vertical="top" wrapText="1"/>
    </x:xf>
    <x:xf numFmtId="0" fontId="20" fillId="6" borderId="4" xfId="0" applyNumberFormat="1" applyFont="1" applyFill="1" applyBorder="1" applyAlignment="1">
      <x:alignment vertical="top" wrapText="1"/>
    </x:xf>
    <x:xf numFmtId="200" fontId="20" fillId="6" borderId="4" xfId="0" applyNumberFormat="1" applyFont="1" applyFill="1" applyBorder="1" applyAlignment="1">
      <x:alignment vertical="top" wrapText="1"/>
    </x:xf>
    <x:xf numFmtId="0" fontId="20" fillId="6" borderId="14" xfId="0" applyNumberFormat="1" applyFont="1" applyFill="1" applyBorder="1" applyAlignment="1">
      <x:alignment vertical="top" wrapText="1"/>
    </x:xf>
    <x:xf numFmtId="200" fontId="20" fillId="6" borderId="14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horizontal="center" vertical="center" wrapText="1"/>
    </x:xf>
    <x:xf numFmtId="201" fontId="19" fillId="8" borderId="14" xfId="0" applyNumberFormat="1" applyFont="1" applyFill="1" applyBorder="1" applyAlignment="1">
      <x:alignment horizontal="center"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201" fontId="19" fillId="10" borderId="14" xfId="0" applyNumberFormat="1" applyFont="1" applyFill="1" applyBorder="1" applyAlignment="1">
      <x:alignment horizontal="center" vertical="center" wrapText="1"/>
    </x:xf>
    <x:xf numFmtId="0" fontId="5" fillId="9" borderId="14" xfId="0" applyNumberFormat="1" applyFont="1" applyFill="1" applyBorder="1" applyAlignment="1">
      <x:alignment vertical="center" wrapText="1"/>
    </x:xf>
    <x:xf numFmtId="0" fontId="4" fillId="12" borderId="14" xfId="0" applyNumberFormat="1" applyFont="1" applyFill="1" applyBorder="1" applyAlignment="1">
      <x:alignment horizontal="center" vertical="center" wrapText="1"/>
    </x:xf>
    <x:xf numFmtId="201" fontId="19" fillId="12" borderId="14" xfId="0" applyNumberFormat="1" applyFont="1" applyFill="1" applyBorder="1" applyAlignment="1">
      <x:alignment horizontal="center" vertical="center" wrapText="1"/>
    </x:xf>
    <x:xf numFmtId="0" fontId="5" fillId="11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201" fontId="19" fillId="7" borderId="14" xfId="0" applyNumberFormat="1" applyFont="1" applyFill="1" applyBorder="1" applyAlignment="1">
      <x:alignment horizontal="center" vertical="center" wrapText="1"/>
    </x:xf>
    <x:xf numFmtId="0" fontId="5" fillId="2" borderId="14" xfId="0" applyNumberFormat="1" applyFont="1" applyFill="1" applyBorder="1" applyAlignment="1">
      <x:alignment vertical="center" wrapText="1"/>
    </x:xf>
    <x:xf numFmtId="200" fontId="18" fillId="6" borderId="5" xfId="0" applyNumberFormat="1" applyFont="1" applyFill="1" applyBorder="1" applyAlignment="1">
      <x:alignment vertical="top" wrapText="1"/>
    </x:xf>
    <x:xf numFmtId="0" fontId="20" fillId="6" borderId="5" xfId="0" applyNumberFormat="1" applyFont="1" applyFill="1" applyBorder="1" applyAlignment="1">
      <x:alignment vertical="top" wrapText="1"/>
    </x:xf>
    <x:xf numFmtId="200" fontId="20" fillId="6" borderId="5" xfId="0" applyNumberFormat="1" applyFont="1" applyFill="1" applyBorder="1" applyAlignment="1">
      <x:alignment vertical="top" wrapText="1"/>
    </x:xf>
    <x:xf numFmtId="0" fontId="4" fillId="8" borderId="15" xfId="0" applyNumberFormat="1" applyFont="1" applyFill="1" applyBorder="1" applyAlignment="1">
      <x:alignment horizontal="center" vertical="center" wrapText="1"/>
    </x:xf>
    <x:xf numFmtId="201" fontId="19" fillId="8" borderId="15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18" fillId="3" borderId="15" xfId="0" applyNumberFormat="1" applyFont="1" applyFill="1" applyBorder="1" applyAlignment="1">
      <x:alignment vertical="top" wrapText="1"/>
    </x:xf>
    <x:xf numFmtId="200" fontId="18" fillId="3" borderId="15" xfId="0" applyNumberFormat="1" applyFont="1" applyFill="1" applyBorder="1" applyAlignment="1">
      <x:alignment vertical="top" wrapText="1"/>
    </x:xf>
    <x:xf numFmtId="0" fontId="18" fillId="3" borderId="15" xfId="0" applyNumberFormat="1" applyFont="1" applyFill="1" applyBorder="1" applyAlignment="1">
      <x:alignment horizontal="center" vertical="center" wrapText="1"/>
    </x:xf>
    <x:xf numFmtId="202" fontId="18" fillId="3" borderId="15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center" vertical="center" wrapText="1"/>
    </x:xf>
    <x:xf numFmtId="201" fontId="19" fillId="10" borderId="15" xfId="0" applyNumberFormat="1" applyFont="1" applyFill="1" applyBorder="1" applyAlignment="1">
      <x:alignment horizontal="center" vertical="center" wrapText="1"/>
    </x:xf>
    <x:xf numFmtId="0" fontId="5" fillId="9" borderId="15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201" fontId="19" fillId="6" borderId="15" xfId="0" applyNumberFormat="1" applyFont="1" applyFill="1" applyBorder="1" applyAlignment="1">
      <x:alignment horizontal="center" vertical="center" wrapText="1"/>
    </x:xf>
    <x:xf numFmtId="0" fontId="5" fillId="13" borderId="15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201" fontId="19" fillId="7" borderId="16" xfId="0" applyNumberFormat="1" applyFont="1" applyFill="1" applyBorder="1" applyAlignment="1">
      <x:alignment horizontal="center" vertical="center" wrapText="1"/>
    </x:xf>
    <x:xf numFmtId="0" fontId="5" fillId="2" borderId="16" xfId="0" applyNumberFormat="1" applyFont="1" applyFill="1" applyBorder="1" applyAlignment="1">
      <x:alignment vertical="center" wrapText="1"/>
    </x:xf>
    <x:xf numFmtId="0" fontId="20" fillId="6" borderId="16" xfId="0" applyNumberFormat="1" applyFont="1" applyFill="1" applyBorder="1" applyAlignment="1">
      <x:alignment vertical="top" wrapText="1"/>
    </x:xf>
    <x:xf numFmtId="200" fontId="20" fillId="6" borderId="16" xfId="0" applyNumberFormat="1" applyFont="1" applyFill="1" applyBorder="1" applyAlignment="1">
      <x:alignment vertical="top" wrapText="1"/>
    </x:xf>
    <x:xf numFmtId="0" fontId="18" fillId="3" borderId="16" xfId="0" applyNumberFormat="1" applyFont="1" applyFill="1" applyBorder="1" applyAlignment="1">
      <x:alignment horizontal="center" vertical="center" wrapText="1"/>
    </x:xf>
    <x:xf numFmtId="202" fontId="18" fillId="3" borderId="16" xfId="0" applyNumberFormat="1" applyFont="1" applyFill="1" applyBorder="1" applyAlignment="1">
      <x:alignment horizontal="center" vertical="center" wrapText="1"/>
    </x:xf>
    <x:xf numFmtId="0" fontId="18" fillId="3" borderId="16" xfId="0" applyNumberFormat="1" applyFont="1" applyFill="1" applyBorder="1" applyAlignment="1">
      <x:alignment vertical="top" wrapText="1"/>
    </x:xf>
    <x:xf numFmtId="0" fontId="18" fillId="6" borderId="15" xfId="0" applyNumberFormat="1" applyFont="1" applyFill="1" applyBorder="1" applyAlignment="1">
      <x:alignment horizontal="center" vertical="center" wrapText="1"/>
    </x:xf>
    <x:xf numFmtId="0" fontId="18" fillId="6" borderId="16" xfId="0" applyNumberFormat="1" applyFont="1" applyFill="1" applyBorder="1" applyAlignment="1">
      <x:alignment horizontal="center" vertical="center" wrapText="1"/>
    </x:xf>
    <x:xf numFmtId="202" fontId="18" fillId="6" borderId="15" xfId="0" applyNumberFormat="1" applyFont="1" applyFill="1" applyBorder="1" applyAlignment="1">
      <x:alignment horizontal="center" vertical="center" wrapText="1"/>
    </x:xf>
    <x:xf numFmtId="202" fontId="18" fillId="6" borderId="16" xfId="0" applyNumberFormat="1" applyFont="1" applyFill="1" applyBorder="1" applyAlignment="1">
      <x:alignment horizontal="center" vertical="center" wrapText="1"/>
    </x:xf>
    <x:xf numFmtId="0" fontId="18" fillId="6" borderId="15" xfId="0" applyNumberFormat="1" applyFont="1" applyFill="1" applyBorder="1" applyAlignment="1">
      <x:alignment vertical="top" wrapText="1"/>
    </x:xf>
    <x:xf numFmtId="0" fontId="18" fillId="6" borderId="16" xfId="0" applyNumberFormat="1" applyFont="1" applyFill="1" applyBorder="1" applyAlignment="1">
      <x:alignment vertical="top" wrapText="1"/>
    </x:xf>
    <x:xf numFmtId="0" fontId="18" fillId="3" borderId="2" xfId="0" applyNumberFormat="1" applyFont="1" applyFill="1" applyBorder="1" applyAlignment="1">
      <x:alignment horizontal="center" vertical="top" wrapText="1"/>
    </x:xf>
    <x:xf numFmtId="0" fontId="18" fillId="3" borderId="4" xfId="0" applyNumberFormat="1" applyFont="1" applyFill="1" applyBorder="1" applyAlignment="1">
      <x:alignment horizontal="center" vertical="top" wrapText="1"/>
    </x:xf>
    <x:xf numFmtId="0" fontId="18" fillId="3" borderId="5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8" fillId="8" borderId="2" xfId="0" applyNumberFormat="1" applyFont="1" applyFill="1" applyBorder="1" applyAlignment="1">
      <x:alignment vertical="top" wrapText="1"/>
    </x:xf>
    <x:xf numFmtId="0" fontId="3" fillId="4" borderId="17" xfId="0" applyNumberFormat="1" applyFont="1" applyFill="1" applyBorder="1" applyAlignment="1">
      <x:alignment vertical="top" wrapText="1"/>
    </x:xf>
    <x:xf numFmtId="0" fontId="18" fillId="8" borderId="17" xfId="0" applyNumberFormat="1" applyFont="1" applyFill="1" applyBorder="1" applyAlignment="1">
      <x:alignment vertical="top" wrapText="1"/>
    </x:xf>
    <x:xf numFmtId="0" fontId="18" fillId="3" borderId="17" xfId="0" applyNumberFormat="1" applyFont="1" applyFill="1" applyBorder="1" applyAlignment="1">
      <x:alignment horizontal="center"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18" fillId="10" borderId="4" xfId="0" applyNumberFormat="1" applyFont="1" applyFill="1" applyBorder="1" applyAlignment="1">
      <x:alignment vertical="top" wrapText="1"/>
    </x:xf>
    <x:xf numFmtId="0" fontId="3" fillId="9" borderId="18" xfId="0" applyNumberFormat="1" applyFont="1" applyFill="1" applyBorder="1" applyAlignment="1">
      <x:alignment vertical="top" wrapText="1"/>
    </x:xf>
    <x:xf numFmtId="0" fontId="18" fillId="10" borderId="18" xfId="0" applyNumberFormat="1" applyFont="1" applyFill="1" applyBorder="1" applyAlignment="1">
      <x:alignment vertical="top" wrapText="1"/>
    </x:xf>
    <x:xf numFmtId="0" fontId="18" fillId="3" borderId="18" xfId="0" applyNumberFormat="1" applyFont="1" applyFill="1" applyBorder="1" applyAlignment="1">
      <x:alignment horizontal="center" vertical="top" wrapText="1"/>
    </x:xf>
    <x:xf numFmtId="0" fontId="3" fillId="11" borderId="4" xfId="0" applyNumberFormat="1" applyFont="1" applyFill="1" applyBorder="1" applyAlignment="1">
      <x:alignment vertical="top" wrapText="1"/>
    </x:xf>
    <x:xf numFmtId="0" fontId="18" fillId="12" borderId="4" xfId="0" applyNumberFormat="1" applyFont="1" applyFill="1" applyBorder="1" applyAlignment="1">
      <x:alignment vertical="top" wrapText="1"/>
    </x:xf>
    <x:xf numFmtId="0" fontId="3" fillId="11" borderId="18" xfId="0" applyNumberFormat="1" applyFont="1" applyFill="1" applyBorder="1" applyAlignment="1">
      <x:alignment vertical="top" wrapText="1"/>
    </x:xf>
    <x:xf numFmtId="0" fontId="18" fillId="12" borderId="18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18" fillId="7" borderId="5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 applyAlignment="1">
      <x:alignment vertical="top" wrapText="1"/>
    </x:xf>
    <x:xf numFmtId="0" fontId="18" fillId="7" borderId="18" xfId="0" applyNumberFormat="1" applyFont="1" applyFill="1" applyBorder="1" applyAlignment="1">
      <x:alignment vertical="top" wrapText="1"/>
    </x:xf>
    <x:xf numFmtId="0" fontId="20" fillId="8" borderId="17" xfId="0" applyNumberFormat="1" applyFont="1" applyFill="1" applyBorder="1" applyAlignment="1">
      <x:alignment vertical="top" wrapText="1"/>
    </x:xf>
    <x:xf numFmtId="0" fontId="20" fillId="10" borderId="18" xfId="0" applyNumberFormat="1" applyFont="1" applyFill="1" applyBorder="1" applyAlignment="1">
      <x:alignment vertical="top" wrapText="1"/>
    </x:xf>
    <x:xf numFmtId="0" fontId="20" fillId="12" borderId="18" xfId="0" applyNumberFormat="1" applyFont="1" applyFill="1" applyBorder="1" applyAlignment="1">
      <x:alignment vertical="top" wrapText="1"/>
    </x:xf>
    <x:xf numFmtId="0" fontId="20" fillId="7" borderId="18" xfId="0" applyNumberFormat="1" applyFont="1" applyFill="1" applyBorder="1" applyAlignment="1">
      <x:alignment vertical="top" wrapText="1"/>
    </x:xf>
    <x:xf numFmtId="0" fontId="20" fillId="8" borderId="17" xfId="0" applyNumberFormat="1" applyFont="1" applyFill="1" applyBorder="1" applyAlignment="1">
      <x:alignment horizontal="center" vertical="top" wrapText="1"/>
    </x:xf>
    <x:xf numFmtId="0" fontId="20" fillId="10" borderId="18" xfId="0" applyNumberFormat="1" applyFont="1" applyFill="1" applyBorder="1" applyAlignment="1">
      <x:alignment horizontal="center" vertical="top" wrapText="1"/>
    </x:xf>
    <x:xf numFmtId="0" fontId="20" fillId="12" borderId="18" xfId="0" applyNumberFormat="1" applyFont="1" applyFill="1" applyBorder="1" applyAlignment="1">
      <x:alignment horizontal="center" vertical="top" wrapText="1"/>
    </x:xf>
    <x:xf numFmtId="0" fontId="20" fillId="7" borderId="18" xfId="0" applyNumberFormat="1" applyFont="1" applyFill="1" applyBorder="1" applyAlignment="1">
      <x:alignment horizontal="center" vertical="top" wrapText="1"/>
    </x:xf>
    <x:xf numFmtId="0" fontId="20" fillId="8" borderId="17" xfId="0" applyNumberFormat="1" applyFont="1" applyFill="1" applyBorder="1" applyAlignment="1">
      <x:alignment horizontal="center" vertical="center" wrapText="1"/>
    </x:xf>
    <x:xf numFmtId="0" fontId="20" fillId="10" borderId="18" xfId="0" applyNumberFormat="1" applyFont="1" applyFill="1" applyBorder="1" applyAlignment="1">
      <x:alignment horizontal="center" vertical="center" wrapText="1"/>
    </x:xf>
    <x:xf numFmtId="0" fontId="20" fillId="12" borderId="18" xfId="0" applyNumberFormat="1" applyFont="1" applyFill="1" applyBorder="1" applyAlignment="1">
      <x:alignment horizontal="center" vertical="center" wrapText="1"/>
    </x:xf>
    <x:xf numFmtId="0" fontId="20" fillId="7" borderId="18" xfId="0" applyNumberFormat="1" applyFont="1" applyFill="1" applyBorder="1" applyAlignment="1">
      <x:alignment horizontal="center" vertical="center" wrapText="1"/>
    </x:xf>
    <x:xf numFmtId="0" fontId="18" fillId="6" borderId="17" xfId="0" applyNumberFormat="1" applyFont="1" applyFill="1" applyBorder="1" applyAlignment="1">
      <x:alignment horizontal="center" vertical="top" wrapText="1"/>
    </x:xf>
    <x:xf numFmtId="0" fontId="18" fillId="6" borderId="18" xfId="0" applyNumberFormat="1" applyFont="1" applyFill="1" applyBorder="1" applyAlignment="1">
      <x:alignment horizontal="center" vertical="top" wrapText="1"/>
    </x:xf>
    <x:xf numFmtId="0" fontId="18" fillId="6" borderId="17" xfId="0" applyNumberFormat="1" applyFont="1" applyFill="1" applyBorder="1" applyAlignment="1">
      <x:alignment horizontal="center" vertical="center" wrapText="1"/>
    </x:xf>
    <x:xf numFmtId="0" fontId="18" fillId="6" borderId="18" xfId="0" applyNumberFormat="1" applyFont="1" applyFill="1" applyBorder="1" applyAlignment="1">
      <x:alignment horizontal="center" vertical="center" wrapText="1"/>
    </x:xf>
    <x:xf numFmtId="0" fontId="18" fillId="0" borderId="2" xfId="0" applyNumberFormat="1" applyFont="1" applyFill="1" applyBorder="1" applyAlignment="1">
      <x:alignment horizontal="center" vertical="top" wrapText="1"/>
    </x:xf>
    <x:xf numFmtId="0" fontId="18" fillId="0" borderId="4" xfId="0" applyNumberFormat="1" applyFont="1" applyFill="1" applyBorder="1" applyAlignment="1">
      <x:alignment horizontal="center" vertical="top" wrapText="1"/>
    </x:xf>
    <x:xf numFmtId="0" fontId="18" fillId="0" borderId="5" xfId="0" applyNumberFormat="1" applyFont="1" applyFill="1" applyBorder="1" applyAlignment="1">
      <x:alignment horizontal="center" vertical="top" wrapText="1"/>
    </x:xf>
    <x:xf numFmtId="0" fontId="20" fillId="5" borderId="2" xfId="0" applyNumberFormat="1" applyFont="1" applyFill="1" applyBorder="1" applyAlignment="1">
      <x:alignment vertical="top" wrapText="1"/>
    </x:xf>
    <x:xf numFmtId="0" fontId="20" fillId="5" borderId="4" xfId="0" applyNumberFormat="1" applyFont="1" applyFill="1" applyBorder="1" applyAlignment="1">
      <x:alignment vertical="top" wrapText="1"/>
    </x:xf>
    <x:xf numFmtId="0" fontId="20" fillId="5" borderId="5" xfId="0" applyNumberFormat="1" applyFont="1" applyFill="1" applyBorder="1" applyAlignment="1">
      <x:alignment vertical="top" wrapText="1"/>
    </x:xf>
    <x:xf numFmtId="0" fontId="20" fillId="5" borderId="2" xfId="0" applyNumberFormat="1" applyFont="1" applyFill="1" applyBorder="1" applyAlignment="1">
      <x:alignment vertical="center" wrapText="1"/>
    </x:xf>
    <x:xf numFmtId="0" fontId="20" fillId="5" borderId="4" xfId="0" applyNumberFormat="1" applyFont="1" applyFill="1" applyBorder="1" applyAlignment="1">
      <x:alignment vertical="center" wrapText="1"/>
    </x:xf>
    <x:xf numFmtId="0" fontId="20" fillId="5" borderId="5" xfId="0" applyNumberFormat="1" applyFont="1" applyFill="1" applyBorder="1" applyAlignment="1">
      <x:alignment vertical="center" wrapText="1"/>
    </x:xf>
    <x:xf numFmtId="0" fontId="18" fillId="7" borderId="2" xfId="0" applyNumberFormat="1" applyFont="1" applyFill="1" applyBorder="1" applyAlignment="1">
      <x:alignment horizontal="center" vertical="top" wrapText="1"/>
    </x:xf>
    <x:xf numFmtId="0" fontId="18" fillId="7" borderId="4" xfId="0" applyNumberFormat="1" applyFont="1" applyFill="1" applyBorder="1" applyAlignment="1">
      <x:alignment horizontal="center" vertical="top" wrapText="1"/>
    </x:xf>
    <x:xf numFmtId="0" fontId="18" fillId="7" borderId="5" xfId="0" applyNumberFormat="1" applyFont="1" applyFill="1" applyBorder="1" applyAlignment="1">
      <x:alignment horizontal="center" vertical="top" wrapText="1"/>
    </x:xf>
    <x:xf numFmtId="0" fontId="20" fillId="7" borderId="2" xfId="0" applyNumberFormat="1" applyFont="1" applyFill="1" applyBorder="1" applyAlignment="1">
      <x:alignment horizontal="center" vertical="top" wrapText="1"/>
    </x:xf>
    <x:xf numFmtId="0" fontId="20" fillId="7" borderId="4" xfId="0" applyNumberFormat="1" applyFont="1" applyFill="1" applyBorder="1" applyAlignment="1">
      <x:alignment horizontal="center" vertical="top" wrapText="1"/>
    </x:xf>
    <x:xf numFmtId="0" fontId="20" fillId="7" borderId="5" xfId="0" applyNumberFormat="1" applyFont="1" applyFill="1" applyBorder="1" applyAlignment="1">
      <x:alignment horizontal="center" vertical="top" wrapText="1"/>
    </x:xf>
    <x:xf numFmtId="0" fontId="20" fillId="7" borderId="2" xfId="0" applyNumberFormat="1" applyFont="1" applyFill="1" applyBorder="1" applyAlignment="1">
      <x:alignment horizontal="center" vertical="center" wrapText="1"/>
    </x:xf>
    <x:xf numFmtId="0" fontId="20" fillId="7" borderId="4" xfId="0" applyNumberFormat="1" applyFont="1" applyFill="1" applyBorder="1" applyAlignment="1">
      <x:alignment horizontal="center" vertical="center" wrapText="1"/>
    </x:xf>
    <x:xf numFmtId="0" fontId="20" fillId="7" borderId="5" xfId="0" applyNumberFormat="1" applyFont="1" applyFill="1" applyBorder="1" applyAlignment="1">
      <x:alignment horizontal="center" vertical="center" wrapText="1"/>
    </x:xf>
    <x:xf numFmtId="0" fontId="20" fillId="6" borderId="2" xfId="0" applyNumberFormat="1" applyFont="1" applyFill="1" applyBorder="1" applyAlignment="1">
      <x:alignment horizontal="center" vertical="top" wrapText="1"/>
    </x:xf>
    <x:xf numFmtId="0" fontId="20" fillId="6" borderId="4" xfId="0" applyNumberFormat="1" applyFont="1" applyFill="1" applyBorder="1" applyAlignment="1">
      <x:alignment horizontal="center" vertical="top" wrapText="1"/>
    </x:xf>
    <x:xf numFmtId="0" fontId="20" fillId="6" borderId="5" xfId="0" applyNumberFormat="1" applyFont="1" applyFill="1" applyBorder="1" applyAlignment="1">
      <x:alignment horizontal="center" vertical="top" wrapText="1"/>
    </x:xf>
    <x:xf numFmtId="0" fontId="20" fillId="6" borderId="2" xfId="0" applyNumberFormat="1" applyFont="1" applyFill="1" applyBorder="1" applyAlignment="1">
      <x:alignment horizontal="center" vertical="center" wrapText="1"/>
    </x:xf>
    <x:xf numFmtId="0" fontId="20" fillId="6" borderId="4" xfId="0" applyNumberFormat="1" applyFont="1" applyFill="1" applyBorder="1" applyAlignment="1">
      <x:alignment horizontal="center" vertical="center" wrapText="1"/>
    </x:xf>
    <x:xf numFmtId="0" fontId="20" fillId="6" borderId="5" xfId="0" applyNumberFormat="1" applyFont="1" applyFill="1" applyBorder="1" applyAlignment="1">
      <x:alignment horizontal="center" vertical="center" wrapText="1"/>
    </x:xf>
    <x:xf numFmtId="0" fontId="18" fillId="14" borderId="2" xfId="0" applyNumberFormat="1" applyFont="1" applyFill="1" applyBorder="1" applyAlignment="1">
      <x:alignment horizontal="center" vertical="top" wrapText="1"/>
    </x:xf>
    <x:xf numFmtId="0" fontId="18" fillId="14" borderId="4" xfId="0" applyNumberFormat="1" applyFont="1" applyFill="1" applyBorder="1" applyAlignment="1">
      <x:alignment horizontal="center" vertical="top" wrapText="1"/>
    </x:xf>
    <x:xf numFmtId="0" fontId="18" fillId="14" borderId="5" xfId="0" applyNumberFormat="1" applyFont="1" applyFill="1" applyBorder="1" applyAlignment="1">
      <x:alignment horizontal="center" vertical="top" wrapText="1"/>
    </x:xf>
    <x:xf numFmtId="0" fontId="20" fillId="14" borderId="2" xfId="0" applyNumberFormat="1" applyFont="1" applyFill="1" applyBorder="1" applyAlignment="1">
      <x:alignment horizontal="center" vertical="top" wrapText="1"/>
    </x:xf>
    <x:xf numFmtId="0" fontId="20" fillId="14" borderId="4" xfId="0" applyNumberFormat="1" applyFont="1" applyFill="1" applyBorder="1" applyAlignment="1">
      <x:alignment horizontal="center" vertical="top" wrapText="1"/>
    </x:xf>
    <x:xf numFmtId="0" fontId="20" fillId="14" borderId="5" xfId="0" applyNumberFormat="1" applyFont="1" applyFill="1" applyBorder="1" applyAlignment="1">
      <x:alignment horizontal="center" vertical="top" wrapText="1"/>
    </x:xf>
    <x:xf numFmtId="0" fontId="20" fillId="14" borderId="2" xfId="0" applyNumberFormat="1" applyFont="1" applyFill="1" applyBorder="1" applyAlignment="1">
      <x:alignment horizontal="center" vertical="center" wrapText="1"/>
    </x:xf>
    <x:xf numFmtId="0" fontId="20" fillId="14" borderId="4" xfId="0" applyNumberFormat="1" applyFont="1" applyFill="1" applyBorder="1" applyAlignment="1">
      <x:alignment horizontal="center" vertical="center" wrapText="1"/>
    </x:xf>
    <x:xf numFmtId="0" fontId="20" fillId="14" borderId="5" xfId="0" applyNumberFormat="1" applyFont="1" applyFill="1" applyBorder="1" applyAlignment="1">
      <x:alignment horizontal="center" vertical="center" wrapText="1"/>
    </x:xf>
    <x:xf numFmtId="0" fontId="18" fillId="15" borderId="2" xfId="0" applyNumberFormat="1" applyFont="1" applyFill="1" applyBorder="1" applyAlignment="1">
      <x:alignment vertical="top" wrapText="1"/>
    </x:xf>
    <x:xf numFmtId="0" fontId="18" fillId="15" borderId="4" xfId="0" applyNumberFormat="1" applyFont="1" applyFill="1" applyBorder="1" applyAlignment="1">
      <x:alignment vertical="top" wrapText="1"/>
    </x:xf>
    <x:xf numFmtId="0" fontId="18" fillId="15" borderId="5" xfId="0" applyNumberFormat="1" applyFont="1" applyFill="1" applyBorder="1" applyAlignment="1">
      <x:alignment vertical="top" wrapText="1"/>
    </x:xf>
    <x:xf numFmtId="0" fontId="20" fillId="15" borderId="2" xfId="0" applyNumberFormat="1" applyFont="1" applyFill="1" applyBorder="1" applyAlignment="1">
      <x:alignment vertical="top" wrapText="1"/>
    </x:xf>
    <x:xf numFmtId="0" fontId="20" fillId="15" borderId="4" xfId="0" applyNumberFormat="1" applyFont="1" applyFill="1" applyBorder="1" applyAlignment="1">
      <x:alignment vertical="top" wrapText="1"/>
    </x:xf>
    <x:xf numFmtId="0" fontId="20" fillId="15" borderId="5" xfId="0" applyNumberFormat="1" applyFont="1" applyFill="1" applyBorder="1" applyAlignment="1">
      <x:alignment vertical="top" wrapText="1"/>
    </x:xf>
    <x:xf numFmtId="0" fontId="18" fillId="7" borderId="2" xfId="0" applyNumberFormat="1" applyFont="1" applyFill="1" applyBorder="1" applyAlignment="1">
      <x:alignment vertical="top" wrapText="1"/>
    </x:xf>
    <x:xf numFmtId="0" fontId="18" fillId="7" borderId="4" xfId="0" applyNumberFormat="1" applyFont="1" applyFill="1" applyBorder="1" applyAlignment="1">
      <x:alignment vertical="top" wrapText="1"/>
    </x:xf>
    <x:xf numFmtId="0" fontId="21" fillId="7" borderId="2" xfId="0" applyNumberFormat="1" applyFont="1" applyFill="1" applyBorder="1" applyAlignment="1">
      <x:alignment vertical="top" wrapText="1"/>
    </x:xf>
    <x:xf numFmtId="0" fontId="21" fillId="7" borderId="4" xfId="0" applyNumberFormat="1" applyFont="1" applyFill="1" applyBorder="1" applyAlignment="1">
      <x:alignment vertical="top" wrapText="1"/>
    </x:xf>
    <x:xf numFmtId="0" fontId="21" fillId="7" borderId="5" xfId="0" applyNumberFormat="1" applyFont="1" applyFill="1" applyBorder="1" applyAlignment="1">
      <x:alignment vertical="top" wrapText="1"/>
    </x:xf>
    <x:xf numFmtId="0" fontId="18" fillId="2" borderId="2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5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22" fillId="7" borderId="2" xfId="0" applyNumberFormat="1" applyFont="1" applyFill="1" applyBorder="1" applyAlignment="1">
      <x:alignment vertical="top" wrapText="1"/>
    </x:xf>
    <x:xf numFmtId="0" fontId="22" fillId="7" borderId="4" xfId="0" applyNumberFormat="1" applyFont="1" applyFill="1" applyBorder="1" applyAlignment="1">
      <x:alignment vertical="top" wrapText="1"/>
    </x:xf>
    <x:xf numFmtId="0" fontId="22" fillId="7" borderId="5" xfId="0" applyNumberFormat="1" applyFont="1" applyFill="1" applyBorder="1" applyAlignment="1">
      <x:alignment vertical="top" wrapText="1"/>
    </x:xf>
    <x:xf numFmtId="0" fontId="20" fillId="15" borderId="2" xfId="0" applyNumberFormat="1" applyFont="1" applyFill="1" applyBorder="1" applyAlignment="1">
      <x:alignment horizontal="center" vertical="top" wrapText="1"/>
    </x:xf>
    <x:xf numFmtId="0" fontId="20" fillId="15" borderId="4" xfId="0" applyNumberFormat="1" applyFont="1" applyFill="1" applyBorder="1" applyAlignment="1">
      <x:alignment horizontal="center" vertical="top" wrapText="1"/>
    </x:xf>
    <x:xf numFmtId="0" fontId="20" fillId="15" borderId="5" xfId="0" applyNumberFormat="1" applyFont="1" applyFill="1" applyBorder="1" applyAlignment="1">
      <x:alignment horizontal="center" vertical="top" wrapText="1"/>
    </x:xf>
    <x:xf numFmtId="0" fontId="20" fillId="15" borderId="2" xfId="0" applyNumberFormat="1" applyFont="1" applyFill="1" applyBorder="1" applyAlignment="1">
      <x:alignment horizontal="center" vertical="center" wrapText="1"/>
    </x:xf>
    <x:xf numFmtId="0" fontId="20" fillId="15" borderId="4" xfId="0" applyNumberFormat="1" applyFont="1" applyFill="1" applyBorder="1" applyAlignment="1">
      <x:alignment horizontal="center" vertical="center" wrapText="1"/>
    </x:xf>
    <x:xf numFmtId="0" fontId="20" fillId="15" borderId="5" xfId="0" applyNumberFormat="1" applyFont="1" applyFill="1" applyBorder="1" applyAlignment="1">
      <x:alignment horizontal="center" vertical="center" wrapText="1"/>
    </x:xf>
    <x:xf numFmtId="0" fontId="23" fillId="7" borderId="2" xfId="0" applyNumberFormat="1" applyFont="1" applyFill="1" applyBorder="1" applyAlignment="1">
      <x:alignment vertical="top" wrapText="1"/>
    </x:xf>
    <x:xf numFmtId="0" fontId="23" fillId="7" borderId="4" xfId="0" applyNumberFormat="1" applyFont="1" applyFill="1" applyBorder="1" applyAlignment="1">
      <x:alignment vertical="top" wrapText="1"/>
    </x:xf>
    <x:xf numFmtId="0" fontId="23" fillId="7" borderId="5" xfId="0" applyNumberFormat="1" applyFont="1" applyFill="1" applyBorder="1" applyAlignment="1">
      <x:alignment vertical="top" wrapText="1"/>
    </x:xf>
    <x:xf numFmtId="0" fontId="23" fillId="3" borderId="2" xfId="0" applyNumberFormat="1" applyFont="1" applyFill="1" applyBorder="1" applyAlignment="1">
      <x:alignment vertical="top" wrapText="1"/>
    </x:xf>
    <x:xf numFmtId="0" fontId="23" fillId="3" borderId="4" xfId="0" applyNumberFormat="1" applyFont="1" applyFill="1" applyBorder="1" applyAlignment="1">
      <x:alignment vertical="top" wrapText="1"/>
    </x:xf>
    <x:xf numFmtId="0" fontId="23" fillId="3" borderId="5" xfId="0" applyNumberFormat="1" applyFont="1" applyFill="1" applyBorder="1" applyAlignment="1">
      <x:alignment vertical="top" wrapText="1"/>
    </x:xf>
    <x:xf numFmtId="0" fontId="20" fillId="6" borderId="2" xfId="0" applyNumberFormat="1" applyFont="1" applyFill="1" applyBorder="1" applyAlignment="1">
      <x:alignment vertical="top" wrapText="1"/>
    </x:xf>
    <x:xf numFmtId="0" fontId="12" fillId="4" borderId="11" xfId="0" applyNumberFormat="1" applyFont="1" applyFill="1" applyBorder="1" applyAlignment="1">
      <x:alignment vertical="center" wrapText="1"/>
    </x:xf>
    <x:xf numFmtId="0" fontId="12" fillId="4" borderId="12" xfId="0" applyNumberFormat="1" applyFont="1" applyFill="1" applyBorder="1" applyAlignment="1">
      <x:alignment vertical="center" wrapText="1"/>
    </x:xf>
    <x:xf numFmtId="0" fontId="12" fillId="4" borderId="13" xfId="0" applyNumberFormat="1" applyFont="1" applyFill="1" applyBorder="1" applyAlignment="1">
      <x:alignment vertical="center" wrapText="1"/>
    </x:xf>
    <x:xf numFmtId="0" fontId="14" fillId="8" borderId="15" xfId="0" applyNumberFormat="1" applyFont="1" applyFill="1" applyBorder="1" applyAlignment="1">
      <x:alignment horizontal="center" vertical="center" wrapText="1"/>
    </x:xf>
    <x:xf numFmtId="201" fontId="24" fillId="8" borderId="15" xfId="0" applyNumberFormat="1" applyFont="1" applyFill="1" applyBorder="1" applyAlignment="1">
      <x:alignment horizontal="center" vertical="center" wrapText="1"/>
    </x:xf>
    <x:xf numFmtId="0" fontId="13" fillId="4" borderId="15" xfId="0" applyNumberFormat="1" applyFont="1" applyFill="1" applyBorder="1" applyAlignment="1">
      <x:alignment vertical="center" wrapText="1"/>
    </x:xf>
    <x:xf numFmtId="0" fontId="25" fillId="3" borderId="15" xfId="0" applyNumberFormat="1" applyFont="1" applyFill="1" applyBorder="1" applyAlignment="1">
      <x:alignment vertical="top" wrapText="1"/>
    </x:xf>
    <x:xf numFmtId="200" fontId="25" fillId="3" borderId="15" xfId="0" applyNumberFormat="1" applyFont="1" applyFill="1" applyBorder="1" applyAlignment="1">
      <x:alignment vertical="top" wrapText="1"/>
    </x:xf>
    <x:xf numFmtId="0" fontId="25" fillId="6" borderId="15" xfId="0" applyNumberFormat="1" applyFont="1" applyFill="1" applyBorder="1" applyAlignment="1">
      <x:alignment horizontal="center" vertical="center" wrapText="1"/>
    </x:xf>
    <x:xf numFmtId="202" fontId="25" fillId="6" borderId="15" xfId="0" applyNumberFormat="1" applyFont="1" applyFill="1" applyBorder="1" applyAlignment="1">
      <x:alignment horizontal="center" vertical="center" wrapText="1"/>
    </x:xf>
    <x:xf numFmtId="0" fontId="25" fillId="6" borderId="15" xfId="0" applyNumberFormat="1" applyFont="1" applyFill="1" applyBorder="1" applyAlignment="1">
      <x:alignment vertical="top" wrapText="1"/>
    </x:xf>
    <x:xf numFmtId="0" fontId="14" fillId="8" borderId="4" xfId="0" applyNumberFormat="1" applyFont="1" applyFill="1" applyBorder="1" applyAlignment="1">
      <x:alignment horizontal="center" vertical="center" wrapText="1"/>
    </x:xf>
    <x:xf numFmtId="201" fontId="24" fillId="8" borderId="4" xfId="0" applyNumberFormat="1" applyFont="1" applyFill="1" applyBorder="1" applyAlignment="1">
      <x:alignment horizontal="center" vertical="center" wrapText="1"/>
    </x:xf>
    <x:xf numFmtId="0" fontId="13" fillId="4" borderId="4" xfId="0" applyNumberFormat="1" applyFont="1" applyFill="1" applyBorder="1" applyAlignment="1">
      <x:alignment vertical="center" wrapText="1"/>
    </x:xf>
    <x:xf numFmtId="0" fontId="25" fillId="3" borderId="4" xfId="0" applyNumberFormat="1" applyFont="1" applyFill="1" applyBorder="1" applyAlignment="1">
      <x:alignment vertical="top" wrapText="1"/>
    </x:xf>
    <x:xf numFmtId="200" fontId="25" fillId="3" borderId="4" xfId="0" applyNumberFormat="1" applyFont="1" applyFill="1" applyBorder="1" applyAlignment="1">
      <x:alignment vertical="top" wrapText="1"/>
    </x:xf>
    <x:xf numFmtId="0" fontId="25" fillId="6" borderId="4" xfId="0" applyNumberFormat="1" applyFont="1" applyFill="1" applyBorder="1" applyAlignment="1">
      <x:alignment horizontal="center" vertical="center" wrapText="1"/>
    </x:xf>
    <x:xf numFmtId="202" fontId="25" fillId="6" borderId="4" xfId="0" applyNumberFormat="1" applyFont="1" applyFill="1" applyBorder="1" applyAlignment="1">
      <x:alignment horizontal="center" vertical="center" wrapText="1"/>
    </x:xf>
    <x:xf numFmtId="0" fontId="25" fillId="6" borderId="4" xfId="0" applyNumberFormat="1" applyFont="1" applyFill="1" applyBorder="1" applyAlignment="1">
      <x:alignment vertical="top" wrapText="1"/>
    </x:xf>
    <x:xf numFmtId="0" fontId="14" fillId="8" borderId="14" xfId="0" applyNumberFormat="1" applyFont="1" applyFill="1" applyBorder="1" applyAlignment="1">
      <x:alignment horizontal="center" vertical="center" wrapText="1"/>
    </x:xf>
    <x:xf numFmtId="201" fontId="24" fillId="8" borderId="14" xfId="0" applyNumberFormat="1" applyFont="1" applyFill="1" applyBorder="1" applyAlignment="1">
      <x:alignment horizontal="center" vertical="center" wrapText="1"/>
    </x:xf>
    <x:xf numFmtId="0" fontId="13" fillId="4" borderId="14" xfId="0" applyNumberFormat="1" applyFont="1" applyFill="1" applyBorder="1" applyAlignment="1">
      <x:alignment vertical="center" wrapText="1"/>
    </x:xf>
    <x:xf numFmtId="0" fontId="26" fillId="6" borderId="14" xfId="0" applyNumberFormat="1" applyFont="1" applyFill="1" applyBorder="1" applyAlignment="1">
      <x:alignment vertical="top" wrapText="1"/>
    </x:xf>
    <x:xf numFmtId="200" fontId="26" fillId="6" borderId="14" xfId="0" applyNumberFormat="1" applyFont="1" applyFill="1" applyBorder="1" applyAlignment="1">
      <x:alignment vertical="top" wrapText="1"/>
    </x:xf>
    <x:xf numFmtId="0" fontId="14" fillId="10" borderId="15" xfId="0" applyNumberFormat="1" applyFont="1" applyFill="1" applyBorder="1" applyAlignment="1">
      <x:alignment horizontal="center" vertical="center" wrapText="1"/>
    </x:xf>
    <x:xf numFmtId="201" fontId="24" fillId="10" borderId="15" xfId="0" applyNumberFormat="1" applyFont="1" applyFill="1" applyBorder="1" applyAlignment="1">
      <x:alignment horizontal="center" vertical="center" wrapText="1"/>
    </x:xf>
    <x:xf numFmtId="0" fontId="13" fillId="9" borderId="15" xfId="0" applyNumberFormat="1" applyFont="1" applyFill="1" applyBorder="1" applyAlignment="1">
      <x:alignment vertical="center" wrapText="1"/>
    </x:xf>
    <x:xf numFmtId="0" fontId="14" fillId="10" borderId="4" xfId="0" applyNumberFormat="1" applyFont="1" applyFill="1" applyBorder="1" applyAlignment="1">
      <x:alignment horizontal="center" vertical="center" wrapText="1"/>
    </x:xf>
    <x:xf numFmtId="201" fontId="24" fillId="10" borderId="4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vertical="center" wrapText="1"/>
    </x:xf>
    <x:xf numFmtId="0" fontId="14" fillId="10" borderId="14" xfId="0" applyNumberFormat="1" applyFont="1" applyFill="1" applyBorder="1" applyAlignment="1">
      <x:alignment horizontal="center" vertical="center" wrapText="1"/>
    </x:xf>
    <x:xf numFmtId="201" fontId="24" fillId="10" borderId="14" xfId="0" applyNumberFormat="1" applyFont="1" applyFill="1" applyBorder="1" applyAlignment="1">
      <x:alignment horizontal="center" vertical="center" wrapText="1"/>
    </x:xf>
    <x:xf numFmtId="0" fontId="13" fillId="9" borderId="14" xfId="0" applyNumberFormat="1" applyFont="1" applyFill="1" applyBorder="1" applyAlignment="1">
      <x:alignment vertical="center" wrapText="1"/>
    </x:xf>
    <x:xf numFmtId="0" fontId="14" fillId="12" borderId="4" xfId="0" applyNumberFormat="1" applyFont="1" applyFill="1" applyBorder="1" applyAlignment="1">
      <x:alignment horizontal="center" vertical="center" wrapText="1"/>
    </x:xf>
    <x:xf numFmtId="201" fontId="24" fillId="12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vertical="center" wrapText="1"/>
    </x:xf>
    <x:xf numFmtId="0" fontId="14" fillId="12" borderId="14" xfId="0" applyNumberFormat="1" applyFont="1" applyFill="1" applyBorder="1" applyAlignment="1">
      <x:alignment horizontal="center" vertical="center" wrapText="1"/>
    </x:xf>
    <x:xf numFmtId="201" fontId="24" fillId="12" borderId="14" xfId="0" applyNumberFormat="1" applyFont="1" applyFill="1" applyBorder="1" applyAlignment="1">
      <x:alignment horizontal="center" vertical="center" wrapText="1"/>
    </x:xf>
    <x:xf numFmtId="0" fontId="13" fillId="11" borderId="14" xfId="0" applyNumberFormat="1" applyFont="1" applyFill="1" applyBorder="1" applyAlignment="1">
      <x:alignment vertical="center" wrapText="1"/>
    </x:xf>
    <x:xf numFmtId="0" fontId="14" fillId="6" borderId="4" xfId="0" applyNumberFormat="1" applyFont="1" applyFill="1" applyBorder="1" applyAlignment="1">
      <x:alignment horizontal="center" vertical="center" wrapText="1"/>
    </x:xf>
    <x:xf numFmtId="201" fontId="24" fillId="6" borderId="4" xfId="0" applyNumberFormat="1" applyFont="1" applyFill="1" applyBorder="1" applyAlignment="1">
      <x:alignment horizontal="center" vertical="center" wrapText="1"/>
    </x:xf>
    <x:xf numFmtId="0" fontId="13" fillId="13" borderId="4" xfId="0" applyNumberFormat="1" applyFont="1" applyFill="1" applyBorder="1" applyAlignment="1">
      <x:alignment vertical="center" wrapText="1"/>
    </x:xf>
    <x:xf numFmtId="0" fontId="14" fillId="6" borderId="15" xfId="0" applyNumberFormat="1" applyFont="1" applyFill="1" applyBorder="1" applyAlignment="1">
      <x:alignment horizontal="center" vertical="center" wrapText="1"/>
    </x:xf>
    <x:xf numFmtId="201" fontId="24" fillId="6" borderId="15" xfId="0" applyNumberFormat="1" applyFont="1" applyFill="1" applyBorder="1" applyAlignment="1">
      <x:alignment horizontal="center" vertical="center" wrapText="1"/>
    </x:xf>
    <x:xf numFmtId="0" fontId="13" fillId="13" borderId="15" xfId="0" applyNumberFormat="1" applyFont="1" applyFill="1" applyBorder="1" applyAlignment="1">
      <x:alignment vertical="center" wrapText="1"/>
    </x:xf>
    <x:xf numFmtId="0" fontId="14" fillId="7" borderId="14" xfId="0" applyNumberFormat="1" applyFont="1" applyFill="1" applyBorder="1" applyAlignment="1">
      <x:alignment horizontal="center" vertical="center" wrapText="1"/>
    </x:xf>
    <x:xf numFmtId="201" fontId="24" fillId="7" borderId="14" xfId="0" applyNumberFormat="1" applyFont="1" applyFill="1" applyBorder="1" applyAlignment="1">
      <x:alignment horizontal="center" vertical="center" wrapText="1"/>
    </x:xf>
    <x:xf numFmtId="0" fontId="13" fillId="2" borderId="14" xfId="0" applyNumberFormat="1" applyFont="1" applyFill="1" applyBorder="1" applyAlignment="1">
      <x:alignment vertical="center" wrapText="1"/>
    </x:xf>
    <x:xf numFmtId="0" fontId="14" fillId="7" borderId="16" xfId="0" applyNumberFormat="1" applyFont="1" applyFill="1" applyBorder="1" applyAlignment="1">
      <x:alignment horizontal="center" vertical="center" wrapText="1"/>
    </x:xf>
    <x:xf numFmtId="201" fontId="24" fillId="7" borderId="16" xfId="0" applyNumberFormat="1" applyFont="1" applyFill="1" applyBorder="1" applyAlignment="1">
      <x:alignment horizontal="center" vertical="center" wrapText="1"/>
    </x:xf>
    <x:xf numFmtId="0" fontId="13" fillId="2" borderId="16" xfId="0" applyNumberFormat="1" applyFont="1" applyFill="1" applyBorder="1" applyAlignment="1">
      <x:alignment vertical="center" wrapText="1"/>
    </x:xf>
    <x:xf numFmtId="0" fontId="26" fillId="6" borderId="16" xfId="0" applyNumberFormat="1" applyFont="1" applyFill="1" applyBorder="1" applyAlignment="1">
      <x:alignment vertical="top" wrapText="1"/>
    </x:xf>
    <x:xf numFmtId="200" fontId="26" fillId="6" borderId="16" xfId="0" applyNumberFormat="1" applyFont="1" applyFill="1" applyBorder="1" applyAlignment="1">
      <x:alignment vertical="top" wrapText="1"/>
    </x:xf>
    <x:xf numFmtId="0" fontId="25" fillId="6" borderId="16" xfId="0" applyNumberFormat="1" applyFont="1" applyFill="1" applyBorder="1" applyAlignment="1">
      <x:alignment horizontal="center" vertical="center" wrapText="1"/>
    </x:xf>
    <x:xf numFmtId="202" fontId="25" fillId="6" borderId="16" xfId="0" applyNumberFormat="1" applyFont="1" applyFill="1" applyBorder="1" applyAlignment="1">
      <x:alignment horizontal="center" vertical="center" wrapText="1"/>
    </x:xf>
    <x:xf numFmtId="0" fontId="25" fillId="6" borderId="16" xfId="0" applyNumberFormat="1" applyFont="1" applyFill="1" applyBorder="1" applyAlignment="1">
      <x:alignment vertical="top" wrapText="1"/>
    </x:xf>
    <x:xf numFmtId="0" fontId="25" fillId="6" borderId="5" xfId="0" applyNumberFormat="1" applyFont="1" applyFill="1" applyBorder="1" applyAlignment="1">
      <x:alignment horizontal="center" vertical="center" wrapText="1"/>
    </x:xf>
    <x:xf numFmtId="202" fontId="25" fillId="6" borderId="5" xfId="0" applyNumberFormat="1" applyFont="1" applyFill="1" applyBorder="1" applyAlignment="1">
      <x:alignment horizontal="center" vertical="center" wrapText="1"/>
    </x:xf>
    <x:xf numFmtId="0" fontId="25" fillId="6" borderId="5" xfId="0" applyNumberFormat="1" applyFont="1" applyFill="1" applyBorder="1" applyAlignment="1">
      <x:alignment vertical="top" wrapText="1"/>
    </x:xf>
    <x:xf numFmtId="0" fontId="12" fillId="4" borderId="17" xfId="0" applyNumberFormat="1" applyFont="1" applyFill="1" applyBorder="1" applyAlignment="1">
      <x:alignment vertical="top" wrapText="1"/>
    </x:xf>
    <x:xf numFmtId="0" fontId="25" fillId="8" borderId="17" xfId="0" applyNumberFormat="1" applyFont="1" applyFill="1" applyBorder="1" applyAlignment="1">
      <x:alignment vertical="top" wrapText="1"/>
    </x:xf>
    <x:xf numFmtId="0" fontId="26" fillId="8" borderId="17" xfId="0" applyNumberFormat="1" applyFont="1" applyFill="1" applyBorder="1" applyAlignment="1">
      <x:alignment horizontal="center" vertical="center" wrapText="1"/>
    </x:xf>
    <x:xf numFmtId="0" fontId="25" fillId="6" borderId="17" xfId="0" applyNumberFormat="1" applyFont="1" applyFill="1" applyBorder="1" applyAlignment="1">
      <x:alignment horizontal="center" vertical="center" wrapText="1"/>
    </x:xf>
    <x:xf numFmtId="0" fontId="12" fillId="9" borderId="18" xfId="0" applyNumberFormat="1" applyFont="1" applyFill="1" applyBorder="1" applyAlignment="1">
      <x:alignment vertical="top" wrapText="1"/>
    </x:xf>
    <x:xf numFmtId="0" fontId="25" fillId="10" borderId="18" xfId="0" applyNumberFormat="1" applyFont="1" applyFill="1" applyBorder="1" applyAlignment="1">
      <x:alignment vertical="top" wrapText="1"/>
    </x:xf>
    <x:xf numFmtId="0" fontId="26" fillId="10" borderId="18" xfId="0" applyNumberFormat="1" applyFont="1" applyFill="1" applyBorder="1" applyAlignment="1">
      <x:alignment horizontal="center" vertical="center" wrapText="1"/>
    </x:xf>
    <x:xf numFmtId="0" fontId="25" fillId="6" borderId="18" xfId="0" applyNumberFormat="1" applyFont="1" applyFill="1" applyBorder="1" applyAlignment="1">
      <x:alignment horizontal="center" vertical="center" wrapText="1"/>
    </x:xf>
    <x:xf numFmtId="0" fontId="12" fillId="11" borderId="18" xfId="0" applyNumberFormat="1" applyFont="1" applyFill="1" applyBorder="1" applyAlignment="1">
      <x:alignment vertical="top" wrapText="1"/>
    </x:xf>
    <x:xf numFmtId="0" fontId="25" fillId="12" borderId="18" xfId="0" applyNumberFormat="1" applyFont="1" applyFill="1" applyBorder="1" applyAlignment="1">
      <x:alignment vertical="top" wrapText="1"/>
    </x:xf>
    <x:xf numFmtId="0" fontId="26" fillId="12" borderId="18" xfId="0" applyNumberFormat="1" applyFont="1" applyFill="1" applyBorder="1" applyAlignment="1">
      <x:alignment horizontal="center" vertical="center" wrapText="1"/>
    </x:xf>
    <x:xf numFmtId="0" fontId="12" fillId="2" borderId="18" xfId="0" applyNumberFormat="1" applyFont="1" applyFill="1" applyBorder="1" applyAlignment="1">
      <x:alignment vertical="top" wrapText="1"/>
    </x:xf>
    <x:xf numFmtId="0" fontId="25" fillId="7" borderId="18" xfId="0" applyNumberFormat="1" applyFont="1" applyFill="1" applyBorder="1" applyAlignment="1">
      <x:alignment vertical="top" wrapText="1"/>
    </x:xf>
    <x:xf numFmtId="0" fontId="26" fillId="7" borderId="18" xfId="0" applyNumberFormat="1" applyFont="1" applyFill="1" applyBorder="1" applyAlignment="1">
      <x:alignment horizontal="center" vertical="center" wrapText="1"/>
    </x:xf>
    <x:xf numFmtId="0" fontId="26" fillId="5" borderId="2" xfId="0" applyNumberFormat="1" applyFont="1" applyFill="1" applyBorder="1" applyAlignment="1">
      <x:alignment vertical="center" wrapText="1"/>
    </x:xf>
    <x:xf numFmtId="0" fontId="25" fillId="3" borderId="2" xfId="0" applyNumberFormat="1" applyFont="1" applyFill="1" applyBorder="1" applyAlignment="1">
      <x:alignment vertical="top" wrapText="1"/>
    </x:xf>
    <x:xf numFmtId="0" fontId="26" fillId="7" borderId="2" xfId="0" applyNumberFormat="1" applyFont="1" applyFill="1" applyBorder="1" applyAlignment="1">
      <x:alignment horizontal="center" vertical="center" wrapText="1"/>
    </x:xf>
    <x:xf numFmtId="0" fontId="26" fillId="6" borderId="2" xfId="0" applyNumberFormat="1" applyFont="1" applyFill="1" applyBorder="1" applyAlignment="1">
      <x:alignment horizontal="center" vertical="center" wrapText="1"/>
    </x:xf>
    <x:xf numFmtId="0" fontId="26" fillId="14" borderId="2" xfId="0" applyNumberFormat="1" applyFont="1" applyFill="1" applyBorder="1" applyAlignment="1">
      <x:alignment horizontal="center" vertical="center" wrapText="1"/>
    </x:xf>
    <x:xf numFmtId="0" fontId="25" fillId="6" borderId="2" xfId="0" applyNumberFormat="1" applyFont="1" applyFill="1" applyBorder="1" applyAlignment="1">
      <x:alignment vertical="top" wrapText="1"/>
    </x:xf>
    <x:xf numFmtId="0" fontId="26" fillId="5" borderId="4" xfId="0" applyNumberFormat="1" applyFont="1" applyFill="1" applyBorder="1" applyAlignment="1">
      <x:alignment vertical="center" wrapText="1"/>
    </x:xf>
    <x:xf numFmtId="0" fontId="26" fillId="7" borderId="4" xfId="0" applyNumberFormat="1" applyFont="1" applyFill="1" applyBorder="1" applyAlignment="1">
      <x:alignment horizontal="center" vertical="center" wrapText="1"/>
    </x:xf>
    <x:xf numFmtId="0" fontId="26" fillId="6" borderId="4" xfId="0" applyNumberFormat="1" applyFont="1" applyFill="1" applyBorder="1" applyAlignment="1">
      <x:alignment horizontal="center" vertical="center" wrapText="1"/>
    </x:xf>
    <x:xf numFmtId="0" fontId="26" fillId="14" borderId="4" xfId="0" applyNumberFormat="1" applyFont="1" applyFill="1" applyBorder="1" applyAlignment="1">
      <x:alignment horizontal="center" vertical="center" wrapText="1"/>
    </x:xf>
    <x:xf numFmtId="0" fontId="26" fillId="5" borderId="5" xfId="0" applyNumberFormat="1" applyFont="1" applyFill="1" applyBorder="1" applyAlignment="1">
      <x:alignment vertical="center" wrapText="1"/>
    </x:xf>
    <x:xf numFmtId="0" fontId="25" fillId="3" borderId="5" xfId="0" applyNumberFormat="1" applyFont="1" applyFill="1" applyBorder="1" applyAlignment="1">
      <x:alignment vertical="top" wrapText="1"/>
    </x:xf>
    <x:xf numFmtId="0" fontId="26" fillId="7" borderId="5" xfId="0" applyNumberFormat="1" applyFont="1" applyFill="1" applyBorder="1" applyAlignment="1">
      <x:alignment horizontal="center" vertical="center" wrapText="1"/>
    </x:xf>
    <x:xf numFmtId="0" fontId="26" fillId="6" borderId="5" xfId="0" applyNumberFormat="1" applyFont="1" applyFill="1" applyBorder="1" applyAlignment="1">
      <x:alignment horizontal="center" vertical="center" wrapText="1"/>
    </x:xf>
    <x:xf numFmtId="0" fontId="26" fillId="14" borderId="5" xfId="0" applyNumberFormat="1" applyFont="1" applyFill="1" applyBorder="1" applyAlignment="1">
      <x:alignment horizontal="center" vertical="center" wrapText="1"/>
    </x:xf>
    <x:xf numFmtId="0" fontId="26" fillId="15" borderId="2" xfId="0" applyNumberFormat="1" applyFont="1" applyFill="1" applyBorder="1" applyAlignment="1">
      <x:alignment vertical="top" wrapText="1"/>
    </x:xf>
    <x:xf numFmtId="0" fontId="27" fillId="7" borderId="2" xfId="0" applyNumberFormat="1" applyFont="1" applyFill="1" applyBorder="1" applyAlignment="1">
      <x:alignment vertical="top" wrapText="1"/>
    </x:xf>
    <x:xf numFmtId="0" fontId="26" fillId="15" borderId="4" xfId="0" applyNumberFormat="1" applyFont="1" applyFill="1" applyBorder="1" applyAlignment="1">
      <x:alignment vertical="top" wrapText="1"/>
    </x:xf>
    <x:xf numFmtId="0" fontId="27" fillId="7" borderId="4" xfId="0" applyNumberFormat="1" applyFont="1" applyFill="1" applyBorder="1" applyAlignment="1">
      <x:alignment vertical="top" wrapText="1"/>
    </x:xf>
    <x:xf numFmtId="0" fontId="26" fillId="15" borderId="5" xfId="0" applyNumberFormat="1" applyFont="1" applyFill="1" applyBorder="1" applyAlignment="1">
      <x:alignment vertical="top" wrapText="1"/>
    </x:xf>
    <x:xf numFmtId="0" fontId="27" fillId="7" borderId="5" xfId="0" applyNumberFormat="1" applyFont="1" applyFill="1" applyBorder="1" applyAlignment="1">
      <x:alignment vertical="top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26" fillId="5" borderId="2" xfId="0" applyNumberFormat="1" applyFont="1" applyFill="1" applyBorder="1" applyAlignment="1">
      <x:alignment vertical="top" wrapText="1"/>
    </x:xf>
    <x:xf numFmtId="0" fontId="28" fillId="7" borderId="2" xfId="0" applyNumberFormat="1" applyFont="1" applyFill="1" applyBorder="1" applyAlignment="1">
      <x:alignment vertical="top" wrapText="1"/>
    </x:xf>
    <x:xf numFmtId="0" fontId="26" fillId="15" borderId="2" xfId="0" applyNumberFormat="1" applyFont="1" applyFill="1" applyBorder="1" applyAlignment="1">
      <x:alignment horizontal="center" vertical="center" wrapText="1"/>
    </x:xf>
    <x:xf numFmtId="0" fontId="12" fillId="2" borderId="4" xfId="0" applyNumberFormat="1" applyFont="1" applyFill="1" applyBorder="1" applyAlignment="1">
      <x:alignment horizontal="center" vertical="center" wrapText="1"/>
    </x:xf>
    <x:xf numFmtId="0" fontId="26" fillId="5" borderId="4" xfId="0" applyNumberFormat="1" applyFont="1" applyFill="1" applyBorder="1" applyAlignment="1">
      <x:alignment vertical="top" wrapText="1"/>
    </x:xf>
    <x:xf numFmtId="0" fontId="28" fillId="7" borderId="4" xfId="0" applyNumberFormat="1" applyFont="1" applyFill="1" applyBorder="1" applyAlignment="1">
      <x:alignment vertical="top" wrapText="1"/>
    </x:xf>
    <x:xf numFmtId="0" fontId="26" fillId="15" borderId="4" xfId="0" applyNumberFormat="1" applyFont="1" applyFill="1" applyBorder="1" applyAlignment="1">
      <x:alignment horizontal="center" vertical="center" wrapText="1"/>
    </x:xf>
    <x:xf numFmtId="0" fontId="12" fillId="2" borderId="5" xfId="0" applyNumberFormat="1" applyFont="1" applyFill="1" applyBorder="1" applyAlignment="1">
      <x:alignment horizontal="center" vertical="center" wrapText="1"/>
    </x:xf>
    <x:xf numFmtId="0" fontId="26" fillId="5" borderId="5" xfId="0" applyNumberFormat="1" applyFont="1" applyFill="1" applyBorder="1" applyAlignment="1">
      <x:alignment vertical="top" wrapText="1"/>
    </x:xf>
    <x:xf numFmtId="0" fontId="28" fillId="7" borderId="5" xfId="0" applyNumberFormat="1" applyFont="1" applyFill="1" applyBorder="1" applyAlignment="1">
      <x:alignment vertical="top" wrapText="1"/>
    </x:xf>
    <x:xf numFmtId="0" fontId="26" fillId="15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15803D"/>
      </x:font>
      <x:fill>
        <x:patternFill patternType="solid">
          <x:bgColor rgb="FFEAF6EE"/>
        </x:patternFill>
      </x:fill>
    </x:dxf>
    <x:dxf>
      <x:font>
        <x:b/>
        <x:color rgb="FFB42318"/>
      </x:font>
      <x:fill>
        <x:patternFill patternType="solid">
          <x:bgColor rgb="FFFCEDEA"/>
        </x:patternFill>
      </x:fill>
    </x:dxf>
    <x:dxf>
      <x:font>
        <x:b/>
        <x:color rgb="FF2F6BFF"/>
      </x:font>
      <x:fill>
        <x:patternFill patternType="solid">
          <x:bgColor rgb="FFEEF4FF"/>
        </x:patternFill>
      </x:fill>
    </x:dxf>
    <x:dxf>
      <x:font>
        <x:b/>
        <x:color rgb="FF15803D"/>
      </x:font>
      <x:fill>
        <x:patternFill patternType="solid">
          <x:bgColor rgb="FFEAF6EE"/>
        </x:patternFill>
      </x:fill>
    </x:dxf>
    <x:dxf>
      <x:font>
        <x:b/>
        <x:color rgb="FF15803D"/>
      </x:font>
      <x:fill>
        <x:patternFill patternType="solid">
          <x:bgColor rgb="FFEAF6EE"/>
        </x:patternFill>
      </x:fill>
    </x:dxf>
    <x:dxf>
      <x:font>
        <x:b/>
        <x:color rgb="FFB42318"/>
      </x:font>
      <x:fill>
        <x:patternFill patternType="solid">
          <x:bgColor rgb="FFFCEDEA"/>
        </x:patternFill>
      </x:fill>
    </x:dxf>
    <x:dxf>
      <x:font>
        <x:b/>
        <x:color rgb="FF8A5B00"/>
      </x:font>
      <x:fill>
        <x:patternFill patternType="solid">
          <x:bgColor rgb="FFFFF7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9030b02f5432b" /><Relationship Type="http://schemas.openxmlformats.org/officeDocument/2006/relationships/theme" Target="/xl/theme/theme1.xml" Id="Rca2da2a82e6c4716" /><Relationship Type="http://schemas.openxmlformats.org/officeDocument/2006/relationships/sharedStrings" Target="/xl/sharedStrings.xml" Id="R21f8dc7369e64077" /><Relationship Type="http://schemas.openxmlformats.org/officeDocument/2006/relationships/worksheet" Target="/xl/worksheets/sheet1.xml" Id="R0d19d08f865f4c07" /><Relationship Type="http://schemas.openxmlformats.org/officeDocument/2006/relationships/worksheet" Target="/xl/worksheets/sheet2.xml" Id="R9e26f4b3069346c8" /><Relationship Type="http://schemas.openxmlformats.org/officeDocument/2006/relationships/worksheet" Target="/xl/worksheets/sheet3.xml" Id="R638d1de1c3384251" /><Relationship Type="http://schemas.openxmlformats.org/officeDocument/2006/relationships/worksheet" Target="/xl/worksheets/sheet4.xml" Id="Rdb1b02137e9a4a37" /><Relationship Type="http://schemas.openxmlformats.org/officeDocument/2006/relationships/worksheet" Target="/xl/worksheets/sheet5.xml" Id="R28434c694a4e4c92" /><Relationship Type="http://schemas.openxmlformats.org/officeDocument/2006/relationships/worksheet" Target="/xl/worksheets/sheet6.xml" Id="Rf370085d4b23404b" /><Relationship Type="http://schemas.openxmlformats.org/officeDocument/2006/relationships/worksheet" Target="/xl/worksheets/sheet7.xml" Id="R3ae3d2c1f7ed439c" /></Relationships>
</file>

<file path=xl/tables/table1.xml><?xml version="1.0" encoding="utf-8"?>
<x:table xmlns:x="http://schemas.openxmlformats.org/spreadsheetml/2006/main" id="1" name="DailyLearningPlan" displayName="DailyLearningPlan" ref="A4:M34" headerRowCount="1" totalsRowCount="0" totalsRowShown="0">
  <x:tableColumns count="13">
    <x:tableColumn id="1" name="Day"/>
    <x:tableColumn id="2" name="Planned Date"/>
    <x:tableColumn id="3" name="Phase"/>
    <x:tableColumn id="4" name="Main Focus"/>
    <x:tableColumn id="5" name="Learning Outcome"/>
    <x:tableColumn id="6" name="Study / Learn"/>
    <x:tableColumn id="7" name="Hands-On Build"/>
    <x:tableColumn id="8" name="Daily Deliverable"/>
    <x:tableColumn id="9" name="Primary Tools"/>
    <x:tableColumn id="10" name="Hours"/>
    <x:tableColumn id="11" name="Status"/>
    <x:tableColumn id="12" name="Quiz %"/>
    <x:tableColumn id="13" name="Notes / Evidence Link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ortfolioProjectTable" displayName="PortfolioProjectTable" ref="A4:H8" headerRowCount="1" totalsRowCount="0" totalsRowShown="0">
  <x:tableColumns count="8">
    <x:tableColumn id="1" name="Project"/>
    <x:tableColumn id="2" name="Business Problem"/>
    <x:tableColumn id="3" name="Core Workflow"/>
    <x:tableColumn id="4" name="Required Controls"/>
    <x:tableColumn id="5" name="Proof / Deliverables"/>
    <x:tableColumn id="6" name="Success Metrics"/>
    <x:tableColumn id="7" name="Target Day"/>
    <x:tableColumn id="8" name="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killsReadinessTable" displayName="SkillsReadinessTable" ref="A4:H18" headerRowCount="1" totalsRowCount="0" totalsRowShown="0">
  <x:tableColumns count="8">
    <x:tableColumn id="1" name="Category"/>
    <x:tableColumn id="2" name="Skill"/>
    <x:tableColumn id="3" name="Target Level"/>
    <x:tableColumn id="4" name="Current Level"/>
    <x:tableColumn id="5" name="Gap"/>
    <x:tableColumn id="6" name="Evidence Required"/>
    <x:tableColumn id="7" name="Best Practice Days"/>
    <x:tableColumn id="8" name="Evidence / Link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omplianceCheckpointTable" displayName="ComplianceCheckpointTable" ref="A4:G14" headerRowCount="1" totalsRowCount="0" totalsRowShown="0">
  <x:tableColumns count="7">
    <x:tableColumn id="1" name="Area"/>
    <x:tableColumn id="2" name="Question Before Launch"/>
    <x:tableColumn id="3" name="Expected Control"/>
    <x:tableColumn id="4" name="Evidence"/>
    <x:tableColumn id="5" name="Owner"/>
    <x:tableColumn id="6" name="Status"/>
    <x:tableColumn id="7" name="Official Sourc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nterviewQuestionTable" displayName="InterviewQuestionTable" ref="A4:F19" headerRowCount="1" totalsRowCount="0" totalsRowShown="0">
  <x:tableColumns count="6">
    <x:tableColumn id="1" name="#"/>
    <x:tableColumn id="2" name="Interview Question"/>
    <x:tableColumn id="3" name="A Strong Answer Must Include"/>
    <x:tableColumn id="4" name="Your Answer Notes"/>
    <x:tableColumn id="5" name="Evidence / Project"/>
    <x:tableColumn id="6" name="Confidence (1–5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OfficialResourceTable" displayName="OfficialResourceTable" ref="A4:E20" headerRowCount="1" totalsRowCount="0" totalsRowShown="0">
  <x:tableColumns count="5">
    <x:tableColumn id="1" name="Topic"/>
    <x:tableColumn id="2" name="Resource"/>
    <x:tableColumn id="3" name="Why It Matters"/>
    <x:tableColumn id="4" name="Use On Day"/>
    <x:tableColumn id="5" name="UR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9eb6ad06764f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c92878f1dc47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1bf776ceaf4c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7da61e939641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730b061ad141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ed8c052a48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</x:cols>
  <x:sheetData>
    <x:row r="1" ht="42" customHeight="1">
      <x:c r="A1" s="138" t="str">
        <x:v>30-Day AI Automation Career Sprint</x:v>
      </x:c>
      <x:c r="B1" s="138" t="str">
        <x:v>30-Day AI Automation Career Sprint</x:v>
      </x:c>
      <x:c r="C1" s="138" t="str">
        <x:v>30-Day AI Automation Career Sprint</x:v>
      </x:c>
      <x:c r="D1" s="138" t="str">
        <x:v>30-Day AI Automation Career Sprint</x:v>
      </x:c>
      <x:c r="E1" s="138" t="str">
        <x:v>30-Day AI Automation Career Sprint</x:v>
      </x:c>
      <x:c r="F1" s="138" t="str">
        <x:v>30-Day AI Automation Career Sprint</x:v>
      </x:c>
      <x:c r="G1" s="138" t="str">
        <x:v>30-Day AI Automation Career Sprint</x:v>
      </x:c>
      <x:c r="H1" s="138" t="str">
        <x:v>30-Day AI Automation Career Sprint</x:v>
      </x:c>
    </x:row>
    <x:row r="2" ht="32" customHeight="1">
      <x:c r="A2" s="139" t="str">
        <x:v>A deliberate, build-first program for AI receptionists, appointment systems, customer service, follow-up automation and production-ready business workflows.</x:v>
      </x:c>
      <x:c r="B2" s="139" t="str">
        <x:v>A deliberate, build-first program for AI receptionists, appointment systems, customer service, follow-up automation and production-ready business workflows.</x:v>
      </x:c>
      <x:c r="C2" s="139" t="str">
        <x:v>A deliberate, build-first program for AI receptionists, appointment systems, customer service, follow-up automation and production-ready business workflows.</x:v>
      </x:c>
      <x:c r="D2" s="139" t="str">
        <x:v>A deliberate, build-first program for AI receptionists, appointment systems, customer service, follow-up automation and production-ready business workflows.</x:v>
      </x:c>
      <x:c r="E2" s="139" t="str">
        <x:v>A deliberate, build-first program for AI receptionists, appointment systems, customer service, follow-up automation and production-ready business workflows.</x:v>
      </x:c>
      <x:c r="F2" s="139" t="str">
        <x:v>A deliberate, build-first program for AI receptionists, appointment systems, customer service, follow-up automation and production-ready business workflows.</x:v>
      </x:c>
      <x:c r="G2" s="139" t="str">
        <x:v>A deliberate, build-first program for AI receptionists, appointment systems, customer service, follow-up automation and production-ready business workflows.</x:v>
      </x:c>
      <x:c r="H2" s="139" t="str">
        <x:v>A deliberate, build-first program for AI receptionists, appointment systems, customer service, follow-up automation and production-ready business workflows.</x:v>
      </x:c>
    </x:row>
    <x:row r="3">
      <x:c r="A3" s="140"/>
      <x:c r="B3" s="140"/>
      <x:c r="C3" s="140"/>
      <x:c r="D3" s="140"/>
      <x:c r="E3" s="140"/>
      <x:c r="F3" s="140"/>
      <x:c r="G3" s="140"/>
      <x:c r="H3" s="140"/>
    </x:row>
    <x:row r="4">
      <x:c r="A4" s="141" t="str">
        <x:v>PROGRAM SETUP</x:v>
      </x:c>
      <x:c r="B4" s="141" t="str">
        <x:v>PROGRAM SETUP</x:v>
      </x:c>
      <x:c r="C4" s="141" t="str">
        <x:v>PROGRAM SETUP</x:v>
      </x:c>
      <x:c r="D4" s="142" t="str">
        <x:v>COMPLETED DAYS</x:v>
      </x:c>
      <x:c r="E4" s="142" t="str">
        <x:v>COMPLETED DAYS</x:v>
      </x:c>
      <x:c r="F4" s="142" t="str">
        <x:v>OVERALL PROGRESS</x:v>
      </x:c>
      <x:c r="G4" s="142" t="str">
        <x:v>OVERALL PROGRESS</x:v>
      </x:c>
      <x:c r="H4" s="142" t="str">
        <x:v>OVERALL PROGRESS</x:v>
      </x:c>
    </x:row>
    <x:row r="5" ht="32" customHeight="1">
      <x:c r="A5" s="143" t="str">
        <x:v>Recommended pace</x:v>
      </x:c>
      <x:c r="B5" s="143" t="str">
        <x:v>Recommended pace</x:v>
      </x:c>
      <x:c r="C5" s="144" t="n">
        <x:v>3</x:v>
      </x:c>
      <x:c r="D5" s="145" t="n">
        <x:f>COUNTIF('30-Day Plan'!$K$5:$K$34,"Completed")</x:f>
        <x:v>0</x:v>
      </x:c>
      <x:c r="E5" s="145"/>
      <x:c r="F5" s="146" t="n">
        <x:f>COUNTIF('30-Day Plan'!$K$5:$K$34,"Completed")/COUNTA('30-Day Plan'!$A$5:$A$34)</x:f>
        <x:v>0</x:v>
      </x:c>
      <x:c r="G5" s="146"/>
      <x:c r="H5" s="146"/>
    </x:row>
    <x:row r="6" ht="29" customHeight="1">
      <x:c r="A6" s="147" t="str">
        <x:v>Start date</x:v>
      </x:c>
      <x:c r="B6" s="147" t="str">
        <x:v>Start date</x:v>
      </x:c>
      <x:c r="C6" s="148"/>
      <x:c r="D6" s="142" t="str">
        <x:v>PLANNED HOURS</x:v>
      </x:c>
      <x:c r="E6" s="142" t="str">
        <x:v>PLANNED HOURS</x:v>
      </x:c>
      <x:c r="F6" s="142" t="str">
        <x:v>AVERAGE QUIZ SCORE</x:v>
      </x:c>
      <x:c r="G6" s="142" t="str">
        <x:v>AVERAGE QUIZ SCORE</x:v>
      </x:c>
      <x:c r="H6" s="142" t="str">
        <x:v>AVERAGE QUIZ SCORE</x:v>
      </x:c>
    </x:row>
    <x:row r="7" ht="32" customHeight="1">
      <x:c r="A7" s="149" t="str">
        <x:v>Target role</x:v>
      </x:c>
      <x:c r="B7" s="149" t="str">
        <x:v>Target role</x:v>
      </x:c>
      <x:c r="C7" s="150" t="str">
        <x:v>AI Automation &amp; AI Systems Expert</x:v>
      </x:c>
      <x:c r="D7" s="145" t="n">
        <x:f>SUM('30-Day Plan'!$J$5:$J$34)</x:f>
        <x:v>90</x:v>
      </x:c>
      <x:c r="E7" s="145"/>
      <x:c r="F7" s="146" t="n">
        <x:f>IFERROR(AVERAGE('30-Day Plan'!$L$5:$L$34)/100,0)</x:f>
        <x:v>0</x:v>
      </x:c>
      <x:c r="G7" s="146"/>
      <x:c r="H7" s="146"/>
    </x:row>
    <x:row r="8">
      <x:c r="A8" s="140"/>
      <x:c r="B8" s="140"/>
      <x:c r="C8" s="140"/>
      <x:c r="D8" s="140"/>
      <x:c r="E8" s="140"/>
      <x:c r="F8" s="140"/>
      <x:c r="G8" s="140"/>
      <x:c r="H8" s="140"/>
    </x:row>
    <x:row r="9">
      <x:c r="A9" s="151" t="str">
        <x:v>THE FIVE-BLOCK ROADMAP</x:v>
      </x:c>
      <x:c r="B9" s="151" t="str">
        <x:v>THE FIVE-BLOCK ROADMAP</x:v>
      </x:c>
      <x:c r="C9" s="151" t="str">
        <x:v>THE FIVE-BLOCK ROADMAP</x:v>
      </x:c>
      <x:c r="D9" s="151" t="str">
        <x:v>THE FIVE-BLOCK ROADMAP</x:v>
      </x:c>
      <x:c r="E9" s="151" t="str">
        <x:v>THE FIVE-BLOCK ROADMAP</x:v>
      </x:c>
      <x:c r="F9" s="151" t="str">
        <x:v>THE FIVE-BLOCK ROADMAP</x:v>
      </x:c>
      <x:c r="G9" s="151" t="str">
        <x:v>THE FIVE-BLOCK ROADMAP</x:v>
      </x:c>
      <x:c r="H9" s="151" t="str">
        <x:v>THE FIVE-BLOCK ROADMAP</x:v>
      </x:c>
    </x:row>
    <x:row r="10" ht="34" customHeight="1">
      <x:c r="A10" s="152" t="str">
        <x:v>01  FOUNDATIONS</x:v>
      </x:c>
      <x:c r="B10" s="152" t="str">
        <x:v>01  FOUNDATIONS</x:v>
      </x:c>
      <x:c r="C10" s="153" t="str">
        <x:v>Days 1-7</x:v>
      </x:c>
      <x:c r="D10" s="154" t="str">
        <x:v>Process mapping, APIs and GoHighLevel  |  Milestone: lead intake automation</x:v>
      </x:c>
      <x:c r="E10" s="154" t="str">
        <x:v>Process mapping, APIs and GoHighLevel  |  Milestone: lead intake automation</x:v>
      </x:c>
      <x:c r="F10" s="154" t="str">
        <x:v>Process mapping, APIs and GoHighLevel  |  Milestone: lead intake automation</x:v>
      </x:c>
      <x:c r="G10" s="154" t="str">
        <x:v>Process mapping, APIs and GoHighLevel  |  Milestone: lead intake automation</x:v>
      </x:c>
      <x:c r="H10" s="154" t="str">
        <x:v>Process mapping, APIs and GoHighLevel  |  Milestone: lead intake automation</x:v>
      </x:c>
    </x:row>
    <x:row r="11" ht="34" customHeight="1">
      <x:c r="A11" s="155" t="str">
        <x:v>02  INTELLIGENCE</x:v>
      </x:c>
      <x:c r="B11" s="155" t="str">
        <x:v>02  INTELLIGENCE</x:v>
      </x:c>
      <x:c r="C11" s="156" t="str">
        <x:v>Days 8-15</x:v>
      </x:c>
      <x:c r="D11" s="157" t="str">
        <x:v>Prompting, tool calling, RAG and n8n  |  Milestone: AI customer service</x:v>
      </x:c>
      <x:c r="E11" s="157" t="str">
        <x:v>Prompting, tool calling, RAG and n8n  |  Milestone: AI customer service</x:v>
      </x:c>
      <x:c r="F11" s="157" t="str">
        <x:v>Prompting, tool calling, RAG and n8n  |  Milestone: AI customer service</x:v>
      </x:c>
      <x:c r="G11" s="157" t="str">
        <x:v>Prompting, tool calling, RAG and n8n  |  Milestone: AI customer service</x:v>
      </x:c>
      <x:c r="H11" s="157" t="str">
        <x:v>Prompting, tool calling, RAG and n8n  |  Milestone: AI customer service</x:v>
      </x:c>
    </x:row>
    <x:row r="12" ht="34" customHeight="1">
      <x:c r="A12" s="158" t="str">
        <x:v>03  VOICE AI</x:v>
      </x:c>
      <x:c r="B12" s="158" t="str">
        <x:v>03  VOICE AI</x:v>
      </x:c>
      <x:c r="C12" s="159" t="str">
        <x:v>Days 16-20</x:v>
      </x:c>
      <x:c r="D12" s="160" t="str">
        <x:v>Voice architecture, booking, transfers and testing  |  Milestone: AI receptionist</x:v>
      </x:c>
      <x:c r="E12" s="160" t="str">
        <x:v>Voice architecture, booking, transfers and testing  |  Milestone: AI receptionist</x:v>
      </x:c>
      <x:c r="F12" s="160" t="str">
        <x:v>Voice architecture, booking, transfers and testing  |  Milestone: AI receptionist</x:v>
      </x:c>
      <x:c r="G12" s="160" t="str">
        <x:v>Voice architecture, booking, transfers and testing  |  Milestone: AI receptionist</x:v>
      </x:c>
      <x:c r="H12" s="160" t="str">
        <x:v>Voice architecture, booking, transfers and testing  |  Milestone: AI receptionist</x:v>
      </x:c>
    </x:row>
    <x:row r="13" ht="34" customHeight="1">
      <x:c r="A13" s="161" t="str">
        <x:v>04  OPERATIONS</x:v>
      </x:c>
      <x:c r="B13" s="161" t="str">
        <x:v>04  OPERATIONS</x:v>
      </x:c>
      <x:c r="C13" s="162" t="str">
        <x:v>Days 21-26</x:v>
      </x:c>
      <x:c r="D13" s="163" t="str">
        <x:v>Follow-up, appointment setting, service, ROI, security and compliance</x:v>
      </x:c>
      <x:c r="E13" s="163" t="str">
        <x:v>Follow-up, appointment setting, service, ROI, security and compliance</x:v>
      </x:c>
      <x:c r="F13" s="163" t="str">
        <x:v>Follow-up, appointment setting, service, ROI, security and compliance</x:v>
      </x:c>
      <x:c r="G13" s="163" t="str">
        <x:v>Follow-up, appointment setting, service, ROI, security and compliance</x:v>
      </x:c>
      <x:c r="H13" s="163" t="str">
        <x:v>Follow-up, appointment setting, service, ROI, security and compliance</x:v>
      </x:c>
    </x:row>
    <x:row r="14" ht="34" customHeight="1">
      <x:c r="A14" s="164" t="str">
        <x:v>05  CAPSTONE</x:v>
      </x:c>
      <x:c r="B14" s="164" t="str">
        <x:v>05  CAPSTONE</x:v>
      </x:c>
      <x:c r="C14" s="165" t="str">
        <x:v>Days 27-30</x:v>
      </x:c>
      <x:c r="D14" s="166" t="str">
        <x:v>End-to-end system, quality assurance, portfolio and mock interview</x:v>
      </x:c>
      <x:c r="E14" s="166" t="str">
        <x:v>End-to-end system, quality assurance, portfolio and mock interview</x:v>
      </x:c>
      <x:c r="F14" s="166" t="str">
        <x:v>End-to-end system, quality assurance, portfolio and mock interview</x:v>
      </x:c>
      <x:c r="G14" s="166" t="str">
        <x:v>End-to-end system, quality assurance, portfolio and mock interview</x:v>
      </x:c>
      <x:c r="H14" s="166" t="str">
        <x:v>End-to-end system, quality assurance, portfolio and mock interview</x:v>
      </x:c>
    </x:row>
    <x:row r="15">
      <x:c r="A15" s="140"/>
      <x:c r="B15" s="140"/>
      <x:c r="C15" s="140"/>
      <x:c r="D15" s="140"/>
      <x:c r="E15" s="140"/>
      <x:c r="F15" s="140"/>
      <x:c r="G15" s="140"/>
      <x:c r="H15" s="140"/>
    </x:row>
    <x:row r="16">
      <x:c r="A16" s="167" t="str">
        <x:v>DAILY OPERATING RHYTHM  |  3 HOURS</x:v>
      </x:c>
      <x:c r="B16" s="167" t="str">
        <x:v>DAILY OPERATING RHYTHM  |  3 HOURS</x:v>
      </x:c>
      <x:c r="C16" s="167" t="str">
        <x:v>DAILY OPERATING RHYTHM  |  3 HOURS</x:v>
      </x:c>
      <x:c r="D16" s="167" t="str">
        <x:v>DAILY OPERATING RHYTHM  |  3 HOURS</x:v>
      </x:c>
      <x:c r="E16" s="167" t="str">
        <x:v>DAILY OPERATING RHYTHM  |  3 HOURS</x:v>
      </x:c>
      <x:c r="F16" s="167" t="str">
        <x:v>DAILY OPERATING RHYTHM  |  3 HOURS</x:v>
      </x:c>
      <x:c r="G16" s="167" t="str">
        <x:v>DAILY OPERATING RHYTHM  |  3 HOURS</x:v>
      </x:c>
      <x:c r="H16" s="167" t="str">
        <x:v>DAILY OPERATING RHYTHM  |  3 HOURS</x:v>
      </x:c>
    </x:row>
    <x:row r="17" ht="26" customHeight="1">
      <x:c r="A17" s="142" t="str">
        <x:v>LEARN  |  60 MIN</x:v>
      </x:c>
      <x:c r="B17" s="142" t="str">
        <x:v>LEARN  |  60 MIN</x:v>
      </x:c>
      <x:c r="C17" s="142" t="str">
        <x:v>LEARN  |  60 MIN</x:v>
      </x:c>
      <x:c r="D17" s="142" t="str">
        <x:v>BUILD  |  90 MIN</x:v>
      </x:c>
      <x:c r="E17" s="142" t="str">
        <x:v>BUILD  |  90 MIN</x:v>
      </x:c>
      <x:c r="F17" s="142" t="str">
        <x:v>BUILD  |  90 MIN</x:v>
      </x:c>
      <x:c r="G17" s="142" t="str">
        <x:v>TEST  |  30 MIN</x:v>
      </x:c>
      <x:c r="H17" s="142" t="str">
        <x:v>TEST  |  30 MIN</x:v>
      </x:c>
    </x:row>
    <x:row r="18" ht="28" customHeight="1">
      <x:c r="A18" s="168" t="str">
        <x:v>Study one focused concept. Take concise notes and explain the idea in your own words.</x:v>
      </x:c>
      <x:c r="B18" s="169" t="str">
        <x:v>Study one focused concept. Take concise notes and explain the idea in your own words.</x:v>
      </x:c>
      <x:c r="C18" s="170" t="str">
        <x:v>Study one focused concept. Take concise notes and explain the idea in your own words.</x:v>
      </x:c>
      <x:c r="D18" s="168" t="str">
        <x:v>Implement the day's workflow with synthetic data. Make the happy path work end to end.</x:v>
      </x:c>
      <x:c r="E18" s="169" t="str">
        <x:v>Implement the day's workflow with synthetic data. Make the happy path work end to end.</x:v>
      </x:c>
      <x:c r="F18" s="170" t="str">
        <x:v>Implement the day's workflow with synthetic data. Make the happy path work end to end.</x:v>
      </x:c>
      <x:c r="G18" s="168" t="str">
        <x:v>Test failures and edge cases, then save evidence before marking the day complete.</x:v>
      </x:c>
      <x:c r="H18" s="170" t="str">
        <x:v>Test failures and edge cases, then save evidence before marking the day complete.</x:v>
      </x:c>
    </x:row>
    <x:row r="19" ht="28" customHeight="1">
      <x:c r="A19" s="171" t="str">
        <x:v>Study one focused concept. Take concise notes and explain the idea in your own words.</x:v>
      </x:c>
      <x:c r="B19" s="172" t="str">
        <x:v>Study one focused concept. Take concise notes and explain the idea in your own words.</x:v>
      </x:c>
      <x:c r="C19" s="173" t="str">
        <x:v>Study one focused concept. Take concise notes and explain the idea in your own words.</x:v>
      </x:c>
      <x:c r="D19" s="171" t="str">
        <x:v>Implement the day's workflow with synthetic data. Make the happy path work end to end.</x:v>
      </x:c>
      <x:c r="E19" s="172" t="str">
        <x:v>Implement the day's workflow with synthetic data. Make the happy path work end to end.</x:v>
      </x:c>
      <x:c r="F19" s="173" t="str">
        <x:v>Implement the day's workflow with synthetic data. Make the happy path work end to end.</x:v>
      </x:c>
      <x:c r="G19" s="171" t="str">
        <x:v>Test failures and edge cases, then save evidence before marking the day complete.</x:v>
      </x:c>
      <x:c r="H19" s="173" t="str">
        <x:v>Test failures and edge cases, then save evidence before marking the day complete.</x:v>
      </x:c>
    </x:row>
    <x:row r="20">
      <x:c r="A20" s="140"/>
      <x:c r="B20" s="140"/>
      <x:c r="C20" s="140"/>
      <x:c r="D20" s="140"/>
      <x:c r="E20" s="140"/>
      <x:c r="F20" s="140"/>
      <x:c r="G20" s="140"/>
      <x:c r="H20" s="140"/>
    </x:row>
    <x:row r="21">
      <x:c r="A21" s="174" t="str">
        <x:v>DEFINITION OF DONE  |  MARK A DAY COMPLETE ONLY WHEN ALL FIVE ARE TRUE</x:v>
      </x:c>
      <x:c r="B21" s="174" t="str">
        <x:v>DEFINITION OF DONE  |  MARK A DAY COMPLETE ONLY WHEN ALL FIVE ARE TRUE</x:v>
      </x:c>
      <x:c r="C21" s="174" t="str">
        <x:v>DEFINITION OF DONE  |  MARK A DAY COMPLETE ONLY WHEN ALL FIVE ARE TRUE</x:v>
      </x:c>
      <x:c r="D21" s="174" t="str">
        <x:v>DEFINITION OF DONE  |  MARK A DAY COMPLETE ONLY WHEN ALL FIVE ARE TRUE</x:v>
      </x:c>
      <x:c r="E21" s="174" t="str">
        <x:v>DEFINITION OF DONE  |  MARK A DAY COMPLETE ONLY WHEN ALL FIVE ARE TRUE</x:v>
      </x:c>
      <x:c r="F21" s="174" t="str">
        <x:v>DEFINITION OF DONE  |  MARK A DAY COMPLETE ONLY WHEN ALL FIVE ARE TRUE</x:v>
      </x:c>
      <x:c r="G21" s="174" t="str">
        <x:v>DEFINITION OF DONE  |  MARK A DAY COMPLETE ONLY WHEN ALL FIVE ARE TRUE</x:v>
      </x:c>
      <x:c r="H21" s="174" t="str">
        <x:v>DEFINITION OF DONE  |  MARK A DAY COMPLETE ONLY WHEN ALL FIVE ARE TRUE</x:v>
      </x:c>
    </x:row>
    <x:row r="22" ht="25" customHeight="1">
      <x:c r="A22" s="175" t="str">
        <x:v>1. The daily deliverable exists and can be opened, demonstrated or inspected.</x:v>
      </x:c>
      <x:c r="B22" s="175" t="str">
        <x:v>1. The daily deliverable exists and can be opened, demonstrated or inspected.</x:v>
      </x:c>
      <x:c r="C22" s="175" t="str">
        <x:v>1. The daily deliverable exists and can be opened, demonstrated or inspected.</x:v>
      </x:c>
      <x:c r="D22" s="175" t="str">
        <x:v>1. The daily deliverable exists and can be opened, demonstrated or inspected.</x:v>
      </x:c>
      <x:c r="E22" s="175" t="str">
        <x:v>1. The daily deliverable exists and can be opened, demonstrated or inspected.</x:v>
      </x:c>
      <x:c r="F22" s="175" t="str">
        <x:v>1. The daily deliverable exists and can be opened, demonstrated or inspected.</x:v>
      </x:c>
      <x:c r="G22" s="175" t="str">
        <x:v>1. The daily deliverable exists and can be opened, demonstrated or inspected.</x:v>
      </x:c>
      <x:c r="H22" s="175" t="str">
        <x:v>1. The daily deliverable exists and can be opened, demonstrated or inspected.</x:v>
      </x:c>
    </x:row>
    <x:row r="23" ht="25" customHeight="1">
      <x:c r="A23" s="176" t="str">
        <x:v>2. The main success path works with synthetic test data.</x:v>
      </x:c>
      <x:c r="B23" s="176" t="str">
        <x:v>2. The main success path works with synthetic test data.</x:v>
      </x:c>
      <x:c r="C23" s="176" t="str">
        <x:v>2. The main success path works with synthetic test data.</x:v>
      </x:c>
      <x:c r="D23" s="176" t="str">
        <x:v>2. The main success path works with synthetic test data.</x:v>
      </x:c>
      <x:c r="E23" s="176" t="str">
        <x:v>2. The main success path works with synthetic test data.</x:v>
      </x:c>
      <x:c r="F23" s="176" t="str">
        <x:v>2. The main success path works with synthetic test data.</x:v>
      </x:c>
      <x:c r="G23" s="176" t="str">
        <x:v>2. The main success path works with synthetic test data.</x:v>
      </x:c>
      <x:c r="H23" s="176" t="str">
        <x:v>2. The main success path works with synthetic test data.</x:v>
      </x:c>
    </x:row>
    <x:row r="24" ht="25" customHeight="1">
      <x:c r="A24" s="175" t="str">
        <x:v>3. At least one failure or edge case has been tested and documented.</x:v>
      </x:c>
      <x:c r="B24" s="175" t="str">
        <x:v>3. At least one failure or edge case has been tested and documented.</x:v>
      </x:c>
      <x:c r="C24" s="175" t="str">
        <x:v>3. At least one failure or edge case has been tested and documented.</x:v>
      </x:c>
      <x:c r="D24" s="175" t="str">
        <x:v>3. At least one failure or edge case has been tested and documented.</x:v>
      </x:c>
      <x:c r="E24" s="175" t="str">
        <x:v>3. At least one failure or edge case has been tested and documented.</x:v>
      </x:c>
      <x:c r="F24" s="175" t="str">
        <x:v>3. At least one failure or edge case has been tested and documented.</x:v>
      </x:c>
      <x:c r="G24" s="175" t="str">
        <x:v>3. At least one failure or edge case has been tested and documented.</x:v>
      </x:c>
      <x:c r="H24" s="175" t="str">
        <x:v>3. At least one failure or edge case has been tested and documented.</x:v>
      </x:c>
    </x:row>
    <x:row r="25" ht="25" customHeight="1">
      <x:c r="A25" s="176" t="str">
        <x:v>4. Evidence is saved in the Notes / Evidence Link cell for that day.</x:v>
      </x:c>
      <x:c r="B25" s="176" t="str">
        <x:v>4. Evidence is saved in the Notes / Evidence Link cell for that day.</x:v>
      </x:c>
      <x:c r="C25" s="176" t="str">
        <x:v>4. Evidence is saved in the Notes / Evidence Link cell for that day.</x:v>
      </x:c>
      <x:c r="D25" s="176" t="str">
        <x:v>4. Evidence is saved in the Notes / Evidence Link cell for that day.</x:v>
      </x:c>
      <x:c r="E25" s="176" t="str">
        <x:v>4. Evidence is saved in the Notes / Evidence Link cell for that day.</x:v>
      </x:c>
      <x:c r="F25" s="176" t="str">
        <x:v>4. Evidence is saved in the Notes / Evidence Link cell for that day.</x:v>
      </x:c>
      <x:c r="G25" s="176" t="str">
        <x:v>4. Evidence is saved in the Notes / Evidence Link cell for that day.</x:v>
      </x:c>
      <x:c r="H25" s="176" t="str">
        <x:v>4. Evidence is saved in the Notes / Evidence Link cell for that day.</x:v>
      </x:c>
    </x:row>
    <x:row r="26" ht="25" customHeight="1">
      <x:c r="A26" s="175" t="str">
        <x:v>5. You can explain what you built, why it matters and what you would improve next.</x:v>
      </x:c>
      <x:c r="B26" s="175" t="str">
        <x:v>5. You can explain what you built, why it matters and what you would improve next.</x:v>
      </x:c>
      <x:c r="C26" s="175" t="str">
        <x:v>5. You can explain what you built, why it matters and what you would improve next.</x:v>
      </x:c>
      <x:c r="D26" s="175" t="str">
        <x:v>5. You can explain what you built, why it matters and what you would improve next.</x:v>
      </x:c>
      <x:c r="E26" s="175" t="str">
        <x:v>5. You can explain what you built, why it matters and what you would improve next.</x:v>
      </x:c>
      <x:c r="F26" s="175" t="str">
        <x:v>5. You can explain what you built, why it matters and what you would improve next.</x:v>
      </x:c>
      <x:c r="G26" s="175" t="str">
        <x:v>5. You can explain what you built, why it matters and what you would improve next.</x:v>
      </x:c>
      <x:c r="H26" s="175" t="str">
        <x:v>5. You can explain what you built, why it matters and what you would improve next.</x:v>
      </x:c>
    </x:row>
    <x:row r="27">
      <x:c r="A27" s="140"/>
      <x:c r="B27" s="140"/>
      <x:c r="C27" s="140"/>
      <x:c r="D27" s="140"/>
      <x:c r="E27" s="140"/>
      <x:c r="F27" s="140"/>
      <x:c r="G27" s="140"/>
      <x:c r="H27" s="140"/>
    </x:row>
    <x:row r="28" ht="26" customHeight="1">
      <x:c r="A28" s="177" t="str">
        <x:v>EDITING GUIDE  |  Yellow cells are your inputs. Blue values calculate automatically. Green means complete; red means blocked or unresolved.</x:v>
      </x:c>
      <x:c r="B28" s="177" t="str">
        <x:v>EDITING GUIDE  |  Yellow cells are your inputs. Blue values calculate automatically. Green means complete; red means blocked or unresolved.</x:v>
      </x:c>
      <x:c r="C28" s="177" t="str">
        <x:v>EDITING GUIDE  |  Yellow cells are your inputs. Blue values calculate automatically. Green means complete; red means blocked or unresolved.</x:v>
      </x:c>
      <x:c r="D28" s="177" t="str">
        <x:v>EDITING GUIDE  |  Yellow cells are your inputs. Blue values calculate automatically. Green means complete; red means blocked or unresolved.</x:v>
      </x:c>
      <x:c r="E28" s="177" t="str">
        <x:v>EDITING GUIDE  |  Yellow cells are your inputs. Blue values calculate automatically. Green means complete; red means blocked or unresolved.</x:v>
      </x:c>
      <x:c r="F28" s="177" t="str">
        <x:v>EDITING GUIDE  |  Yellow cells are your inputs. Blue values calculate automatically. Green means complete; red means blocked or unresolved.</x:v>
      </x:c>
      <x:c r="G28" s="177" t="str">
        <x:v>EDITING GUIDE  |  Yellow cells are your inputs. Blue values calculate automatically. Green means complete; red means blocked or unresolved.</x:v>
      </x:c>
      <x:c r="H28" s="177" t="str">
        <x:v>EDITING GUIDE  |  Yellow cells are your inputs. Blue values calculate automatically. Green means complete; red means blocked or unresolved.</x:v>
      </x:c>
    </x:row>
  </x:sheetData>
  <x:mergeCells>
    <x:mergeCell ref="A1:H1"/>
    <x:mergeCell ref="A2:H2"/>
    <x:mergeCell ref="A4:C4"/>
    <x:mergeCell ref="A5:B5"/>
    <x:mergeCell ref="A6:B6"/>
    <x:mergeCell ref="A7:B7"/>
    <x:mergeCell ref="D4:E4"/>
    <x:mergeCell ref="D5:E5"/>
    <x:mergeCell ref="F4:H4"/>
    <x:mergeCell ref="F5:H5"/>
    <x:mergeCell ref="D6:E6"/>
    <x:mergeCell ref="D7:E7"/>
    <x:mergeCell ref="F6:H6"/>
    <x:mergeCell ref="F7:H7"/>
    <x:mergeCell ref="A9:H9"/>
    <x:mergeCell ref="A10:B10"/>
    <x:mergeCell ref="D10:H10"/>
    <x:mergeCell ref="A11:B11"/>
    <x:mergeCell ref="D11:H11"/>
    <x:mergeCell ref="A12:B12"/>
    <x:mergeCell ref="D12:H12"/>
    <x:mergeCell ref="A13:B13"/>
    <x:mergeCell ref="D13:H13"/>
    <x:mergeCell ref="A14:B14"/>
    <x:mergeCell ref="D14:H14"/>
    <x:mergeCell ref="A16:H16"/>
    <x:mergeCell ref="A17:C17"/>
    <x:mergeCell ref="A18:C19"/>
    <x:mergeCell ref="D17:F17"/>
    <x:mergeCell ref="D18:F19"/>
    <x:mergeCell ref="G17:H17"/>
    <x:mergeCell ref="G18:H19"/>
    <x:mergeCell ref="A21:H21"/>
    <x:mergeCell ref="A22:H22"/>
    <x:mergeCell ref="A23:H23"/>
    <x:mergeCell ref="A24:H24"/>
    <x:mergeCell ref="A25:H25"/>
    <x:mergeCell ref="A26:H26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2" hidden="0" customWidth="1"/>
    <x:col min="4" max="4" width="25" hidden="0" customWidth="1"/>
    <x:col min="5" max="5" width="34" hidden="0" customWidth="1"/>
    <x:col min="6" max="6" width="40" hidden="0" customWidth="1"/>
    <x:col min="7" max="7" width="44" hidden="0" customWidth="1"/>
    <x:col min="8" max="8" width="34" hidden="0" customWidth="1"/>
    <x:col min="9" max="9" width="24" hidden="0" customWidth="1"/>
    <x:col min="10" max="10" width="9" hidden="0" customWidth="1"/>
    <x:col min="11" max="11" width="14" hidden="0" customWidth="1"/>
    <x:col min="12" max="12" width="10" hidden="0" customWidth="1"/>
    <x:col min="13" max="13" width="30" hidden="0" customWidth="1"/>
  </x:cols>
  <x:sheetData>
    <x:row r="1" ht="42" customHeight="1">
      <x:c r="A1" s="4" t="str">
        <x:v>30-Day Daily Learning Plan</x:v>
      </x:c>
      <x:c r="B1" s="4" t="str">
        <x:v>30-Day Daily Learning Plan</x:v>
      </x:c>
      <x:c r="C1" s="4" t="str">
        <x:v>30-Day Daily Learning Plan</x:v>
      </x:c>
      <x:c r="D1" s="4" t="str">
        <x:v>30-Day Daily Learning Plan</x:v>
      </x:c>
      <x:c r="E1" s="4" t="str">
        <x:v>30-Day Daily Learning Plan</x:v>
      </x:c>
      <x:c r="F1" s="4" t="str">
        <x:v>30-Day Daily Learning Plan</x:v>
      </x:c>
      <x:c r="G1" s="4" t="str">
        <x:v>30-Day Daily Learning Plan</x:v>
      </x:c>
      <x:c r="H1" s="4" t="str">
        <x:v>30-Day Daily Learning Plan</x:v>
      </x:c>
      <x:c r="I1" s="4" t="str">
        <x:v>30-Day Daily Learning Plan</x:v>
      </x:c>
      <x:c r="J1" s="4" t="str">
        <x:v>30-Day Daily Learning Plan</x:v>
      </x:c>
      <x:c r="K1" s="4" t="str">
        <x:v>30-Day Daily Learning Plan</x:v>
      </x:c>
      <x:c r="L1" s="4" t="str">
        <x:v>30-Day Daily Learning Plan</x:v>
      </x:c>
      <x:c r="M1" s="4" t="str">
        <x:v>30-Day Daily Learning Plan</x:v>
      </x:c>
    </x:row>
    <x:row r="2" ht="32" customHeight="1">
      <x:c r="A2" s="139" t="str">
        <x:v>Daily rhythm: Learn (60 min) → Build (90 min) → Test/document (30 min). Enter a start date on Start Here to populate the planned dates automatically.</x:v>
      </x:c>
      <x:c r="B2" s="139" t="str">
        <x:v>Daily rhythm: Learn (60 min) → Build (90 min) → Test/document (30 min). Enter a start date on Start Here to populate the planned dates automatically.</x:v>
      </x:c>
      <x:c r="C2" s="139" t="str">
        <x:v>Daily rhythm: Learn (60 min) → Build (90 min) → Test/document (30 min). Enter a start date on Start Here to populate the planned dates automatically.</x:v>
      </x:c>
      <x:c r="D2" s="139" t="str">
        <x:v>Daily rhythm: Learn (60 min) → Build (90 min) → Test/document (30 min). Enter a start date on Start Here to populate the planned dates automatically.</x:v>
      </x:c>
      <x:c r="E2" s="139" t="str">
        <x:v>Daily rhythm: Learn (60 min) → Build (90 min) → Test/document (30 min). Enter a start date on Start Here to populate the planned dates automatically.</x:v>
      </x:c>
      <x:c r="F2" s="139" t="str">
        <x:v>Daily rhythm: Learn (60 min) → Build (90 min) → Test/document (30 min). Enter a start date on Start Here to populate the planned dates automatically.</x:v>
      </x:c>
      <x:c r="G2" s="139" t="str">
        <x:v>Daily rhythm: Learn (60 min) → Build (90 min) → Test/document (30 min). Enter a start date on Start Here to populate the planned dates automatically.</x:v>
      </x:c>
      <x:c r="H2" s="139" t="str">
        <x:v>Daily rhythm: Learn (60 min) → Build (90 min) → Test/document (30 min). Enter a start date on Start Here to populate the planned dates automatically.</x:v>
      </x:c>
      <x:c r="I2" s="139" t="str">
        <x:v>Daily rhythm: Learn (60 min) → Build (90 min) → Test/document (30 min). Enter a start date on Start Here to populate the planned dates automatically.</x:v>
      </x:c>
      <x:c r="J2" s="139" t="str">
        <x:v>Daily rhythm: Learn (60 min) → Build (90 min) → Test/document (30 min). Enter a start date on Start Here to populate the planned dates automatically.</x:v>
      </x:c>
      <x:c r="K2" s="139" t="str">
        <x:v>Daily rhythm: Learn (60 min) → Build (90 min) → Test/document (30 min). Enter a start date on Start Here to populate the planned dates automatically.</x:v>
      </x:c>
      <x:c r="L2" s="139" t="str">
        <x:v>Daily rhythm: Learn (60 min) → Build (90 min) → Test/document (30 min). Enter a start date on Start Here to populate the planned dates automatically.</x:v>
      </x:c>
      <x:c r="M2" s="139" t="str">
        <x:v>Daily rhythm: Learn (60 min) → Build (90 min) → Test/document (30 min). Enter a start date on Start Here to populate the planned dates automatically.</x:v>
      </x:c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  <x:c r="L3" s="140"/>
      <x:c r="M3" s="140"/>
    </x:row>
    <x:row r="4" ht="34" customHeight="1">
      <x:c r="A4" s="451" t="str">
        <x:v>Day</x:v>
      </x:c>
      <x:c r="B4" s="452" t="str">
        <x:v>Planned Date</x:v>
      </x:c>
      <x:c r="C4" s="452" t="str">
        <x:v>Phase</x:v>
      </x:c>
      <x:c r="D4" s="452" t="str">
        <x:v>Main Focus</x:v>
      </x:c>
      <x:c r="E4" s="452" t="str">
        <x:v>Learning Outcome</x:v>
      </x:c>
      <x:c r="F4" s="452" t="str">
        <x:v>Study / Learn</x:v>
      </x:c>
      <x:c r="G4" s="452" t="str">
        <x:v>Hands-On Build</x:v>
      </x:c>
      <x:c r="H4" s="452" t="str">
        <x:v>Daily Deliverable</x:v>
      </x:c>
      <x:c r="I4" s="452" t="str">
        <x:v>Primary Tools</x:v>
      </x:c>
      <x:c r="J4" s="452" t="str">
        <x:v>Hours</x:v>
      </x:c>
      <x:c r="K4" s="452" t="str">
        <x:v>Status</x:v>
      </x:c>
      <x:c r="L4" s="452" t="str">
        <x:v>Quiz %</x:v>
      </x:c>
      <x:c r="M4" s="453" t="str">
        <x:v>Notes / Evidence Link</x:v>
      </x:c>
    </x:row>
    <x:row r="5" ht="82" customHeight="1">
      <x:c r="A5" s="454" t="n">
        <x:v>1</x:v>
      </x:c>
      <x:c r="B5" s="455" t="str">
        <x:f>IF('Start Here'!$C$6="","",'Start Here'!$C$6+A5-1)</x:f>
      </x:c>
      <x:c r="C5" s="456" t="str">
        <x:v>Block 1 | Foundations</x:v>
      </x:c>
      <x:c r="D5" s="457" t="str">
        <x:v>Business process mapping</x:v>
      </x:c>
      <x:c r="E5" s="457" t="str">
        <x:v>Convert a business problem into an automatable workflow with owners, inputs, rules and exceptions.</x:v>
      </x:c>
      <x:c r="F5" s="457" t="str">
        <x:v>Study triggers, actions, decisions, handoffs, SLAs and KPIs. Map the employer's lead-to-appointment process.</x:v>
      </x:c>
      <x:c r="G5" s="457" t="str">
        <x:v>Draw the current-state and future-state process for a Medicare inquiry from first contact to booked call.</x:v>
      </x:c>
      <x:c r="H5" s="457" t="str">
        <x:v>Two process maps plus 5 automation opportunities.</x:v>
      </x:c>
      <x:c r="I5" s="457" t="str">
        <x:v>Miro/Lucidchart</x:v>
      </x:c>
      <x:c r="J5" s="458" t="n">
        <x:v>3</x:v>
      </x:c>
      <x:c r="K5" s="459" t="str">
        <x:v>Not Started</x:v>
      </x:c>
      <x:c r="L5" s="460"/>
      <x:c r="M5" s="461" t="str"/>
    </x:row>
    <x:row r="6" ht="82" customHeight="1">
      <x:c r="A6" s="462" t="n">
        <x:v>2</x:v>
      </x:c>
      <x:c r="B6" s="463" t="str">
        <x:f>IF('Start Here'!$C$6="","",'Start Here'!$C$6+A6-1)</x:f>
      </x:c>
      <x:c r="C6" s="464" t="str">
        <x:v>Block 1 | Foundations</x:v>
      </x:c>
      <x:c r="D6" s="465" t="str">
        <x:v>APIs, HTTP and JSON</x:v>
      </x:c>
      <x:c r="E6" s="465" t="str">
        <x:v>Explain requests, responses, endpoints, methods, headers, status codes and JSON payloads.</x:v>
      </x:c>
      <x:c r="F6" s="465" t="str">
        <x:v>Learn GET/POST/PATCH, authentication, query parameters and common 2xx/4xx/5xx errors.</x:v>
      </x:c>
      <x:c r="G6" s="465" t="str">
        <x:v>Use an API client to send requests to a safe public API; inspect and transform the returned JSON.</x:v>
      </x:c>
      <x:c r="H6" s="465" t="str">
        <x:v>Saved request collection and annotated response.</x:v>
      </x:c>
      <x:c r="I6" s="465" t="str">
        <x:v>Postman/Insomnia</x:v>
      </x:c>
      <x:c r="J6" s="466" t="n">
        <x:v>3</x:v>
      </x:c>
      <x:c r="K6" s="467" t="str">
        <x:v>Not Started</x:v>
      </x:c>
      <x:c r="L6" s="468"/>
      <x:c r="M6" s="469" t="str"/>
    </x:row>
    <x:row r="7" ht="82" customHeight="1">
      <x:c r="A7" s="462" t="n">
        <x:v>3</x:v>
      </x:c>
      <x:c r="B7" s="463" t="str">
        <x:f>IF('Start Here'!$C$6="","",'Start Here'!$C$6+A7-1)</x:f>
      </x:c>
      <x:c r="C7" s="464" t="str">
        <x:v>Block 1 | Foundations</x:v>
      </x:c>
      <x:c r="D7" s="465" t="str">
        <x:v>Webhooks and event-driven automation</x:v>
      </x:c>
      <x:c r="E7" s="465" t="str">
        <x:v>Understand how systems send real-time events and how to validate webhook data.</x:v>
      </x:c>
      <x:c r="F7" s="465" t="str">
        <x:v>Study webhook URLs, payloads, signatures, response timing, retries and idempotency.</x:v>
      </x:c>
      <x:c r="G7" s="465" t="str">
        <x:v>Receive a form webhook, validate required fields, return a response and log the event.</x:v>
      </x:c>
      <x:c r="H7" s="465" t="str">
        <x:v>Working webhook plus 5 failure tests.</x:v>
      </x:c>
      <x:c r="I7" s="465" t="str">
        <x:v>n8n + webhook tester</x:v>
      </x:c>
      <x:c r="J7" s="466" t="n">
        <x:v>3</x:v>
      </x:c>
      <x:c r="K7" s="467" t="str">
        <x:v>Not Started</x:v>
      </x:c>
      <x:c r="L7" s="468"/>
      <x:c r="M7" s="469" t="str"/>
    </x:row>
    <x:row r="8" ht="82" customHeight="1">
      <x:c r="A8" s="462" t="n">
        <x:v>4</x:v>
      </x:c>
      <x:c r="B8" s="463" t="str">
        <x:f>IF('Start Here'!$C$6="","",'Start Here'!$C$6+A8-1)</x:f>
      </x:c>
      <x:c r="C8" s="464" t="str">
        <x:v>Block 1 | Foundations</x:v>
      </x:c>
      <x:c r="D8" s="465" t="str">
        <x:v>CRM data model</x:v>
      </x:c>
      <x:c r="E8" s="465" t="str">
        <x:v>Design clean contact, opportunity and appointment records for automation.</x:v>
      </x:c>
      <x:c r="F8" s="465" t="str">
        <x:v>Learn contacts, custom fields, tags, pipelines, opportunities, users and lead-source fields.</x:v>
      </x:c>
      <x:c r="G8" s="465" t="str">
        <x:v>Create a demo sub-account data model using synthetic leads; define required fields and pipeline stages.</x:v>
      </x:c>
      <x:c r="H8" s="465" t="str">
        <x:v>CRM schema and sample records.</x:v>
      </x:c>
      <x:c r="I8" s="465" t="str">
        <x:v>GoHighLevel</x:v>
      </x:c>
      <x:c r="J8" s="466" t="n">
        <x:v>3</x:v>
      </x:c>
      <x:c r="K8" s="467" t="str">
        <x:v>Not Started</x:v>
      </x:c>
      <x:c r="L8" s="468"/>
      <x:c r="M8" s="469" t="str"/>
    </x:row>
    <x:row r="9" ht="82" customHeight="1">
      <x:c r="A9" s="462" t="n">
        <x:v>5</x:v>
      </x:c>
      <x:c r="B9" s="463" t="str">
        <x:f>IF('Start Here'!$C$6="","",'Start Here'!$C$6+A9-1)</x:f>
      </x:c>
      <x:c r="C9" s="464" t="str">
        <x:v>Block 1 | Foundations</x:v>
      </x:c>
      <x:c r="D9" s="465" t="str">
        <x:v>Workflows and triggers</x:v>
      </x:c>
      <x:c r="E9" s="465" t="str">
        <x:v>Build deterministic CRM automation with clear entry and exit conditions.</x:v>
      </x:c>
      <x:c r="F9" s="465" t="str">
        <x:v>Learn triggers, filters, waits, branches, goals, stop conditions and re-entry settings.</x:v>
      </x:c>
      <x:c r="G9" s="465" t="str">
        <x:v>Build lead intake → assignment → notification → follow-up workflow.</x:v>
      </x:c>
      <x:c r="H9" s="465" t="str">
        <x:v>Tested GHL workflow and screenshots.</x:v>
      </x:c>
      <x:c r="I9" s="465" t="str">
        <x:v>GoHighLevel</x:v>
      </x:c>
      <x:c r="J9" s="466" t="n">
        <x:v>3</x:v>
      </x:c>
      <x:c r="K9" s="467" t="str">
        <x:v>Not Started</x:v>
      </x:c>
      <x:c r="L9" s="468"/>
      <x:c r="M9" s="469" t="str"/>
    </x:row>
    <x:row r="10" ht="82" customHeight="1">
      <x:c r="A10" s="462" t="n">
        <x:v>6</x:v>
      </x:c>
      <x:c r="B10" s="463" t="str">
        <x:f>IF('Start Here'!$C$6="","",'Start Here'!$C$6+A10-1)</x:f>
      </x:c>
      <x:c r="C10" s="464" t="str">
        <x:v>Block 1 | Foundations</x:v>
      </x:c>
      <x:c r="D10" s="465" t="str">
        <x:v>Calendars and appointments</x:v>
      </x:c>
      <x:c r="E10" s="465" t="str">
        <x:v>Prevent double bookings and manage confirmation, reschedule and cancellation states.</x:v>
      </x:c>
      <x:c r="F10" s="465" t="str">
        <x:v>Study calendar availability, buffers, time zones, conflicts, minimum notice and appointment statuses.</x:v>
      </x:c>
      <x:c r="G10" s="465" t="str">
        <x:v>Create a consultation calendar and confirmation/reminder/reschedule workflow.</x:v>
      </x:c>
      <x:c r="H10" s="465" t="str">
        <x:v>Working calendar flow with 8 test cases.</x:v>
      </x:c>
      <x:c r="I10" s="465" t="str">
        <x:v>GoHighLevel</x:v>
      </x:c>
      <x:c r="J10" s="466" t="n">
        <x:v>3</x:v>
      </x:c>
      <x:c r="K10" s="467" t="str">
        <x:v>Not Started</x:v>
      </x:c>
      <x:c r="L10" s="468"/>
      <x:c r="M10" s="469" t="str"/>
    </x:row>
    <x:row r="11" ht="82" customHeight="1">
      <x:c r="A11" s="470" t="n">
        <x:v>7</x:v>
      </x:c>
      <x:c r="B11" s="471" t="str">
        <x:f>IF('Start Here'!$C$6="","",'Start Here'!$C$6+A11-1)</x:f>
      </x:c>
      <x:c r="C11" s="472" t="str">
        <x:v>Block 1 | Foundations</x:v>
      </x:c>
      <x:c r="D11" s="473" t="str">
        <x:v>Lead intake mini-project</x:v>
      </x:c>
      <x:c r="E11" s="473" t="str">
        <x:v>Connect form, CRM, routing and appointment follow-up end to end.</x:v>
      </x:c>
      <x:c r="F11" s="473" t="str">
        <x:v>Review Days 1–6; define success, error and duplicate scenarios.</x:v>
      </x:c>
      <x:c r="G11" s="473" t="str">
        <x:v>Build and test a complete synthetic lead intake workflow; add duplicate prevention and an error alert.</x:v>
      </x:c>
      <x:c r="H11" s="473" t="str">
        <x:v>Portfolio Build 1 demo and architecture diagram.</x:v>
      </x:c>
      <x:c r="I11" s="473" t="str">
        <x:v>GHL + n8n</x:v>
      </x:c>
      <x:c r="J11" s="474" t="n">
        <x:v>3</x:v>
      </x:c>
      <x:c r="K11" s="467" t="str">
        <x:v>Not Started</x:v>
      </x:c>
      <x:c r="L11" s="468"/>
      <x:c r="M11" s="469" t="str"/>
    </x:row>
    <x:row r="12" ht="82" customHeight="1">
      <x:c r="A12" s="475" t="n">
        <x:v>8</x:v>
      </x:c>
      <x:c r="B12" s="476" t="str">
        <x:f>IF('Start Here'!$C$6="","",'Start Here'!$C$6+A12-1)</x:f>
      </x:c>
      <x:c r="C12" s="477" t="str">
        <x:v>Block 2 | Intelligence</x:v>
      </x:c>
      <x:c r="D12" s="457" t="str">
        <x:v>Prompt and conversation design</x:v>
      </x:c>
      <x:c r="E12" s="457" t="str">
        <x:v>Write controlled instructions that are clear about role, boundaries, tone and escalation.</x:v>
      </x:c>
      <x:c r="F12" s="457" t="str">
        <x:v>Study system prompts, few-shot examples, conversation states and sensitive-data minimization.</x:v>
      </x:c>
      <x:c r="G12" s="457" t="str">
        <x:v>Create receptionist and customer-service prompt versions; role-play 10 conversations.</x:v>
      </x:c>
      <x:c r="H12" s="457" t="str">
        <x:v>Prompt v1 plus test transcript log.</x:v>
      </x:c>
      <x:c r="I12" s="457" t="str">
        <x:v>OpenAI/Claude</x:v>
      </x:c>
      <x:c r="J12" s="458" t="n">
        <x:v>3</x:v>
      </x:c>
      <x:c r="K12" s="459" t="str">
        <x:v>Not Started</x:v>
      </x:c>
      <x:c r="L12" s="460"/>
      <x:c r="M12" s="461" t="str"/>
    </x:row>
    <x:row r="13" ht="82" customHeight="1">
      <x:c r="A13" s="478" t="n">
        <x:v>9</x:v>
      </x:c>
      <x:c r="B13" s="479" t="str">
        <x:f>IF('Start Here'!$C$6="","",'Start Here'!$C$6+A13-1)</x:f>
      </x:c>
      <x:c r="C13" s="480" t="str">
        <x:v>Block 2 | Intelligence</x:v>
      </x:c>
      <x:c r="D13" s="465" t="str">
        <x:v>Structured outputs and tool calling</x:v>
      </x:c>
      <x:c r="E13" s="465" t="str">
        <x:v>Make AI return validated data and request real business actions safely.</x:v>
      </x:c>
      <x:c r="F13" s="465" t="str">
        <x:v>Learn JSON Schema, required fields, enums, tool descriptions and server-side validation.</x:v>
      </x:c>
      <x:c r="G13" s="465" t="str">
        <x:v>Build a lead-qualification assistant that outputs structured intent, urgency and next action.</x:v>
      </x:c>
      <x:c r="H13" s="465" t="str">
        <x:v>Schema, tool definitions and validation tests.</x:v>
      </x:c>
      <x:c r="I13" s="465" t="str">
        <x:v>OpenAI + n8n</x:v>
      </x:c>
      <x:c r="J13" s="466" t="n">
        <x:v>3</x:v>
      </x:c>
      <x:c r="K13" s="467" t="str">
        <x:v>Not Started</x:v>
      </x:c>
      <x:c r="L13" s="468"/>
      <x:c r="M13" s="469" t="str"/>
    </x:row>
    <x:row r="14" ht="82" customHeight="1">
      <x:c r="A14" s="478" t="n">
        <x:v>10</x:v>
      </x:c>
      <x:c r="B14" s="479" t="str">
        <x:f>IF('Start Here'!$C$6="","",'Start Here'!$C$6+A14-1)</x:f>
      </x:c>
      <x:c r="C14" s="480" t="str">
        <x:v>Block 2 | Intelligence</x:v>
      </x:c>
      <x:c r="D14" s="465" t="str">
        <x:v>Knowledge bases and RAG</x:v>
      </x:c>
      <x:c r="E14" s="465" t="str">
        <x:v>Answer from approved sources while avoiding unsupported claims.</x:v>
      </x:c>
      <x:c r="F14" s="465" t="str">
        <x:v>Study chunking, retrieval, citations, freshness, access control and 'I don't know' behavior.</x:v>
      </x:c>
      <x:c r="G14" s="465" t="str">
        <x:v>Create a synthetic agency FAQ knowledge base and test 20 answerable/unanswerable questions.</x:v>
      </x:c>
      <x:c r="H14" s="465" t="str">
        <x:v>Knowledge base and accuracy test sheet.</x:v>
      </x:c>
      <x:c r="I14" s="465" t="str">
        <x:v>OpenAI/GHL</x:v>
      </x:c>
      <x:c r="J14" s="466" t="n">
        <x:v>3</x:v>
      </x:c>
      <x:c r="K14" s="467" t="str">
        <x:v>Not Started</x:v>
      </x:c>
      <x:c r="L14" s="468"/>
      <x:c r="M14" s="469" t="str"/>
    </x:row>
    <x:row r="15" ht="82" customHeight="1">
      <x:c r="A15" s="478" t="n">
        <x:v>11</x:v>
      </x:c>
      <x:c r="B15" s="479" t="str">
        <x:f>IF('Start Here'!$C$6="","",'Start Here'!$C$6+A15-1)</x:f>
      </x:c>
      <x:c r="C15" s="480" t="str">
        <x:v>Block 2 | Intelligence</x:v>
      </x:c>
      <x:c r="D15" s="465" t="str">
        <x:v>Guardrails and evaluations</x:v>
      </x:c>
      <x:c r="E15" s="465" t="str">
        <x:v>Measure failure instead of relying on a good-looking demo.</x:v>
      </x:c>
      <x:c r="F15" s="465" t="str">
        <x:v>Learn test datasets, expected outputs, refusal rules, prompt injection and regression testing.</x:v>
      </x:c>
      <x:c r="G15" s="465" t="str">
        <x:v>Create 25 tests covering hallucination, sensitive data, prompt injection, unsupported advice and escalation.</x:v>
      </x:c>
      <x:c r="H15" s="465" t="str">
        <x:v>Evaluation set with pass/fail results.</x:v>
      </x:c>
      <x:c r="I15" s="465" t="str">
        <x:v>OpenAI/Claude</x:v>
      </x:c>
      <x:c r="J15" s="466" t="n">
        <x:v>3</x:v>
      </x:c>
      <x:c r="K15" s="467" t="str">
        <x:v>Not Started</x:v>
      </x:c>
      <x:c r="L15" s="468"/>
      <x:c r="M15" s="469" t="str"/>
    </x:row>
    <x:row r="16" ht="82" customHeight="1">
      <x:c r="A16" s="481" t="n">
        <x:v>12</x:v>
      </x:c>
      <x:c r="B16" s="482" t="str">
        <x:f>IF('Start Here'!$C$6="","",'Start Here'!$C$6+A16-1)</x:f>
      </x:c>
      <x:c r="C16" s="483" t="str">
        <x:v>Block 2 | Intelligence</x:v>
      </x:c>
      <x:c r="D16" s="473" t="str">
        <x:v>Customer-service chatbot</x:v>
      </x:c>
      <x:c r="E16" s="473" t="str">
        <x:v>Combine knowledge, tool calls, ticketing and human escalation.</x:v>
      </x:c>
      <x:c r="F16" s="473" t="str">
        <x:v>Define supported intents, authentication boundary, escalation triggers and service KPIs.</x:v>
      </x:c>
      <x:c r="G16" s="473" t="str">
        <x:v>Build FAQ → ticket creation → CRM update → human handoff flow using synthetic records.</x:v>
      </x:c>
      <x:c r="H16" s="473" t="str">
        <x:v>Portfolio Build 2 demo and test report.</x:v>
      </x:c>
      <x:c r="I16" s="473" t="str">
        <x:v>OpenAI + GHL + n8n</x:v>
      </x:c>
      <x:c r="J16" s="474" t="n">
        <x:v>3</x:v>
      </x:c>
      <x:c r="K16" s="467" t="str">
        <x:v>Not Started</x:v>
      </x:c>
      <x:c r="L16" s="468"/>
      <x:c r="M16" s="469" t="str"/>
    </x:row>
    <x:row r="17" ht="82" customHeight="1">
      <x:c r="A17" s="478" t="n">
        <x:v>13</x:v>
      </x:c>
      <x:c r="B17" s="479" t="str">
        <x:f>IF('Start Here'!$C$6="","",'Start Here'!$C$6+A17-1)</x:f>
      </x:c>
      <x:c r="C17" s="480" t="str">
        <x:v>Block 2 | Intelligence</x:v>
      </x:c>
      <x:c r="D17" s="465" t="str">
        <x:v>n8n workflow design</x:v>
      </x:c>
      <x:c r="E17" s="465" t="str">
        <x:v>Build maintainable workflows with reusable steps and clear data transformations.</x:v>
      </x:c>
      <x:c r="F17" s="465" t="str">
        <x:v>Study nodes, expressions, sub-workflows, credentials, schedules, branches and merge patterns.</x:v>
      </x:c>
      <x:c r="G17" s="465" t="str">
        <x:v>Rebuild one GHL workflow in n8n and document why each step exists.</x:v>
      </x:c>
      <x:c r="H17" s="465" t="str">
        <x:v>Annotated n8n workflow export.</x:v>
      </x:c>
      <x:c r="I17" s="465" t="str">
        <x:v>n8n</x:v>
      </x:c>
      <x:c r="J17" s="466" t="n">
        <x:v>3</x:v>
      </x:c>
      <x:c r="K17" s="467" t="str">
        <x:v>Not Started</x:v>
      </x:c>
      <x:c r="L17" s="468"/>
      <x:c r="M17" s="469" t="str"/>
    </x:row>
    <x:row r="18" ht="82" customHeight="1">
      <x:c r="A18" s="478" t="n">
        <x:v>14</x:v>
      </x:c>
      <x:c r="B18" s="479" t="str">
        <x:f>IF('Start Here'!$C$6="","",'Start Here'!$C$6+A18-1)</x:f>
      </x:c>
      <x:c r="C18" s="480" t="str">
        <x:v>Block 2 | Intelligence</x:v>
      </x:c>
      <x:c r="D18" s="465" t="str">
        <x:v>Reliability and error handling</x:v>
      </x:c>
      <x:c r="E18" s="465" t="str">
        <x:v>Keep automations operating when APIs fail or send unexpected data.</x:v>
      </x:c>
      <x:c r="F18" s="465" t="str">
        <x:v>Study retries, backoff, timeouts, dead-letter queues, idempotency, rate limits and alerts.</x:v>
      </x:c>
      <x:c r="G18" s="465" t="str">
        <x:v>Inject five failures into yesterday's workflow; route failures to a review queue and notify an owner.</x:v>
      </x:c>
      <x:c r="H18" s="465" t="str">
        <x:v>Failure matrix and recovered workflow.</x:v>
      </x:c>
      <x:c r="I18" s="465" t="str">
        <x:v>n8n/Make</x:v>
      </x:c>
      <x:c r="J18" s="466" t="n">
        <x:v>3</x:v>
      </x:c>
      <x:c r="K18" s="467" t="str">
        <x:v>Not Started</x:v>
      </x:c>
      <x:c r="L18" s="468"/>
      <x:c r="M18" s="469" t="str"/>
    </x:row>
    <x:row r="19" ht="82" customHeight="1">
      <x:c r="A19" s="475" t="n">
        <x:v>15</x:v>
      </x:c>
      <x:c r="B19" s="476" t="str">
        <x:f>IF('Start Here'!$C$6="","",'Start Here'!$C$6+A19-1)</x:f>
      </x:c>
      <x:c r="C19" s="477" t="str">
        <x:v>Block 2 | Intelligence</x:v>
      </x:c>
      <x:c r="D19" s="457" t="str">
        <x:v>CRM and third-party integrations</x:v>
      </x:c>
      <x:c r="E19" s="457" t="str">
        <x:v>Connect systems without corrupting source-of-truth records.</x:v>
      </x:c>
      <x:c r="F19" s="457" t="str">
        <x:v>Learn field mapping, canonical IDs, sync direction, conflict handling and audit logs.</x:v>
      </x:c>
      <x:c r="G19" s="457" t="str">
        <x:v>Synchronize a demo contact and appointment across GHL and a mock external system.</x:v>
      </x:c>
      <x:c r="H19" s="457" t="str">
        <x:v>Field map, sync rules and reconciliation check.</x:v>
      </x:c>
      <x:c r="I19" s="457" t="str">
        <x:v>GHL + n8n</x:v>
      </x:c>
      <x:c r="J19" s="458" t="n">
        <x:v>3</x:v>
      </x:c>
      <x:c r="K19" s="459" t="str">
        <x:v>Not Started</x:v>
      </x:c>
      <x:c r="L19" s="460"/>
      <x:c r="M19" s="461" t="str"/>
    </x:row>
    <x:row r="20" ht="82" customHeight="1">
      <x:c r="A20" s="484" t="n">
        <x:v>16</x:v>
      </x:c>
      <x:c r="B20" s="485" t="str">
        <x:f>IF('Start Here'!$C$6="","",'Start Here'!$C$6+A20-1)</x:f>
      </x:c>
      <x:c r="C20" s="486" t="str">
        <x:v>Block 3 | Voice AI</x:v>
      </x:c>
      <x:c r="D20" s="465" t="str">
        <x:v>Voice-agent architecture</x:v>
      </x:c>
      <x:c r="E20" s="465" t="str">
        <x:v>Explain telephony, speech recognition, LLM reasoning, tools, speech generation and latency.</x:v>
      </x:c>
      <x:c r="F20" s="465" t="str">
        <x:v>Study PSTN/Twilio/SIP, STT, TTS, turn detection, interruptions, silence and call lifecycle events.</x:v>
      </x:c>
      <x:c r="G20" s="465" t="str">
        <x:v>Draw a voice architecture and configure a basic inbound agent with synthetic business information.</x:v>
      </x:c>
      <x:c r="H20" s="465" t="str">
        <x:v>Voice architecture and first test call.</x:v>
      </x:c>
      <x:c r="I20" s="465" t="str">
        <x:v>Vapi/Retell/HighLevel</x:v>
      </x:c>
      <x:c r="J20" s="466" t="n">
        <x:v>3</x:v>
      </x:c>
      <x:c r="K20" s="467" t="str">
        <x:v>Not Started</x:v>
      </x:c>
      <x:c r="L20" s="468"/>
      <x:c r="M20" s="469" t="str"/>
    </x:row>
    <x:row r="21" ht="82" customHeight="1">
      <x:c r="A21" s="484" t="n">
        <x:v>17</x:v>
      </x:c>
      <x:c r="B21" s="485" t="str">
        <x:f>IF('Start Here'!$C$6="","",'Start Here'!$C$6+A21-1)</x:f>
      </x:c>
      <x:c r="C21" s="486" t="str">
        <x:v>Block 3 | Voice AI</x:v>
      </x:c>
      <x:c r="D21" s="465" t="str">
        <x:v>AI receptionist conversation</x:v>
      </x:c>
      <x:c r="E21" s="465" t="str">
        <x:v>Create a natural but bounded inbound receptionist experience.</x:v>
      </x:c>
      <x:c r="F21" s="465" t="str">
        <x:v>Study opening disclosure, intent detection, caller confirmation, voicemail and unsupported requests.</x:v>
      </x:c>
      <x:c r="G21" s="465" t="str">
        <x:v>Build greeting, FAQ, lead capture and after-hours paths; test accents, noise and interruptions.</x:v>
      </x:c>
      <x:c r="H21" s="465" t="str">
        <x:v>Inbound receptionist v1 and call logs.</x:v>
      </x:c>
      <x:c r="I21" s="465" t="str">
        <x:v>Vapi/Retell</x:v>
      </x:c>
      <x:c r="J21" s="466" t="n">
        <x:v>3</x:v>
      </x:c>
      <x:c r="K21" s="467" t="str">
        <x:v>Not Started</x:v>
      </x:c>
      <x:c r="L21" s="468"/>
      <x:c r="M21" s="469" t="str"/>
    </x:row>
    <x:row r="22" ht="82" customHeight="1">
      <x:c r="A22" s="484" t="n">
        <x:v>18</x:v>
      </x:c>
      <x:c r="B22" s="485" t="str">
        <x:f>IF('Start Here'!$C$6="","",'Start Here'!$C$6+A22-1)</x:f>
      </x:c>
      <x:c r="C22" s="486" t="str">
        <x:v>Block 3 | Voice AI</x:v>
      </x:c>
      <x:c r="D22" s="465" t="str">
        <x:v>Real-time booking tools</x:v>
      </x:c>
      <x:c r="E22" s="465" t="str">
        <x:v>Let the agent check availability and book without inventing appointment slots.</x:v>
      </x:c>
      <x:c r="F22" s="465" t="str">
        <x:v>Study tool parameters, time zones, slot selection, confirmation and duplicate protection.</x:v>
      </x:c>
      <x:c r="G22" s="465" t="str">
        <x:v>Connect voice agent to calendar availability and booking; confirm details back to the caller.</x:v>
      </x:c>
      <x:c r="H22" s="465" t="str">
        <x:v>Successful booking plus 10 edge-case tests.</x:v>
      </x:c>
      <x:c r="I22" s="465" t="str">
        <x:v>Voice AI + GHL</x:v>
      </x:c>
      <x:c r="J22" s="466" t="n">
        <x:v>3</x:v>
      </x:c>
      <x:c r="K22" s="467" t="str">
        <x:v>Not Started</x:v>
      </x:c>
      <x:c r="L22" s="468"/>
      <x:c r="M22" s="469" t="str"/>
    </x:row>
    <x:row r="23" ht="82" customHeight="1">
      <x:c r="A23" s="484" t="n">
        <x:v>19</x:v>
      </x:c>
      <x:c r="B23" s="485" t="str">
        <x:f>IF('Start Here'!$C$6="","",'Start Here'!$C$6+A23-1)</x:f>
      </x:c>
      <x:c r="C23" s="486" t="str">
        <x:v>Block 3 | Voice AI</x:v>
      </x:c>
      <x:c r="D23" s="465" t="str">
        <x:v>Human transfer and escalation</x:v>
      </x:c>
      <x:c r="E23" s="465" t="str">
        <x:v>Hand off conversations with context when the AI reaches its limits.</x:v>
      </x:c>
      <x:c r="F23" s="465" t="str">
        <x:v>Learn blind vs warm transfer, routing hours, escalation rules, summaries and fallback numbers.</x:v>
      </x:c>
      <x:c r="G23" s="465" t="str">
        <x:v>Add transfers for licensed advice, complaints, emergencies, authentication and explicit human requests.</x:v>
      </x:c>
      <x:c r="H23" s="465" t="str">
        <x:v>Transfer matrix and successful handoff tests.</x:v>
      </x:c>
      <x:c r="I23" s="465" t="str">
        <x:v>Voice AI + Twilio</x:v>
      </x:c>
      <x:c r="J23" s="466" t="n">
        <x:v>3</x:v>
      </x:c>
      <x:c r="K23" s="467" t="str">
        <x:v>Not Started</x:v>
      </x:c>
      <x:c r="L23" s="468"/>
      <x:c r="M23" s="469" t="str"/>
    </x:row>
    <x:row r="24" ht="82" customHeight="1">
      <x:c r="A24" s="487" t="n">
        <x:v>20</x:v>
      </x:c>
      <x:c r="B24" s="488" t="str">
        <x:f>IF('Start Here'!$C$6="","",'Start Here'!$C$6+A24-1)</x:f>
      </x:c>
      <x:c r="C24" s="489" t="str">
        <x:v>Block 3 | Voice AI</x:v>
      </x:c>
      <x:c r="D24" s="473" t="str">
        <x:v>AI receptionist capstone</x:v>
      </x:c>
      <x:c r="E24" s="473" t="str">
        <x:v>Combine voice, CRM, calendar, follow-up, logging and human handoff.</x:v>
      </x:c>
      <x:c r="F24" s="473" t="str">
        <x:v>Define success metrics: answer rate, booking rate, transfer rate, latency and tool-call accuracy.</x:v>
      </x:c>
      <x:c r="G24" s="473" t="str">
        <x:v>Run 30 scripted calls; fix the largest failure modes and record a polished demonstration.</x:v>
      </x:c>
      <x:c r="H24" s="473" t="str">
        <x:v>Portfolio Build 3 demo, scorecard and architecture.</x:v>
      </x:c>
      <x:c r="I24" s="473" t="str">
        <x:v>Voice AI + GHL + n8n</x:v>
      </x:c>
      <x:c r="J24" s="474" t="n">
        <x:v>3</x:v>
      </x:c>
      <x:c r="K24" s="467" t="str">
        <x:v>Not Started</x:v>
      </x:c>
      <x:c r="L24" s="468"/>
      <x:c r="M24" s="469" t="str"/>
    </x:row>
    <x:row r="25" ht="82" customHeight="1">
      <x:c r="A25" s="490" t="n">
        <x:v>21</x:v>
      </x:c>
      <x:c r="B25" s="491" t="str">
        <x:f>IF('Start Here'!$C$6="","",'Start Here'!$C$6+A25-1)</x:f>
      </x:c>
      <x:c r="C25" s="492" t="str">
        <x:v>Block 4 | Operations</x:v>
      </x:c>
      <x:c r="D25" s="465" t="str">
        <x:v>SMS and email follow-up</x:v>
      </x:c>
      <x:c r="E25" s="465" t="str">
        <x:v>Create useful follow-up that stops at the right time and honors preferences.</x:v>
      </x:c>
      <x:c r="F25" s="465" t="str">
        <x:v>Study consent evidence, quiet hours, personalization, frequency caps, STOP/DNC and stop-on-reply rules.</x:v>
      </x:c>
      <x:c r="G25" s="465" t="str">
        <x:v>Build appointment confirmation, reminder, no-show and reactivation sequences using synthetic contacts.</x:v>
      </x:c>
      <x:c r="H25" s="465" t="str">
        <x:v>Four tested sequences and suppression rules.</x:v>
      </x:c>
      <x:c r="I25" s="465" t="str">
        <x:v>GHL</x:v>
      </x:c>
      <x:c r="J25" s="466" t="n">
        <x:v>3</x:v>
      </x:c>
      <x:c r="K25" s="467" t="str">
        <x:v>Not Started</x:v>
      </x:c>
      <x:c r="L25" s="468"/>
      <x:c r="M25" s="469" t="str"/>
    </x:row>
    <x:row r="26" ht="82" customHeight="1">
      <x:c r="A26" s="493" t="n">
        <x:v>22</x:v>
      </x:c>
      <x:c r="B26" s="494" t="str">
        <x:f>IF('Start Here'!$C$6="","",'Start Here'!$C$6+A26-1)</x:f>
      </x:c>
      <x:c r="C26" s="495" t="str">
        <x:v>Block 4 | Operations</x:v>
      </x:c>
      <x:c r="D26" s="457" t="str">
        <x:v>Outbound appointment setter</x:v>
      </x:c>
      <x:c r="E26" s="457" t="str">
        <x:v>Design an outbound system that is consent-aware and transfers sales decisions to licensed staff.</x:v>
      </x:c>
      <x:c r="F26" s="457" t="str">
        <x:v>Study list eligibility, consent records, AI disclosure, opt-out, call windows, DNC checks and escalation.</x:v>
      </x:c>
      <x:c r="G26" s="457" t="str">
        <x:v>Build a simulation only: eligible lead → call/SMS → qualification → calendar → agent handoff.</x:v>
      </x:c>
      <x:c r="H26" s="457" t="str">
        <x:v>Consent-aware workflow and compliance gates.</x:v>
      </x:c>
      <x:c r="I26" s="457" t="str">
        <x:v>GHL + Voice AI</x:v>
      </x:c>
      <x:c r="J26" s="458" t="n">
        <x:v>3</x:v>
      </x:c>
      <x:c r="K26" s="459" t="str">
        <x:v>Not Started</x:v>
      </x:c>
      <x:c r="L26" s="460"/>
      <x:c r="M26" s="461" t="str"/>
    </x:row>
    <x:row r="27" ht="82" customHeight="1">
      <x:c r="A27" s="490" t="n">
        <x:v>23</x:v>
      </x:c>
      <x:c r="B27" s="491" t="str">
        <x:f>IF('Start Here'!$C$6="","",'Start Here'!$C$6+A27-1)</x:f>
      </x:c>
      <x:c r="C27" s="492" t="str">
        <x:v>Block 4 | Operations</x:v>
      </x:c>
      <x:c r="D27" s="465" t="str">
        <x:v>Ticketing and service recovery</x:v>
      </x:c>
      <x:c r="E27" s="465" t="str">
        <x:v>Turn conversations into prioritized work with ownership and SLA tracking.</x:v>
      </x:c>
      <x:c r="F27" s="465" t="str">
        <x:v>Study intent classification, severity, sentiment limits, authentication and escalation queues.</x:v>
      </x:c>
      <x:c r="G27" s="465" t="str">
        <x:v>Create complaint, billing, ID-card and general-information paths with summaries and assigned tasks.</x:v>
      </x:c>
      <x:c r="H27" s="465" t="str">
        <x:v>Support workflow with 15 scenario tests.</x:v>
      </x:c>
      <x:c r="I27" s="465" t="str">
        <x:v>GHL + n8n + AI</x:v>
      </x:c>
      <x:c r="J27" s="466" t="n">
        <x:v>3</x:v>
      </x:c>
      <x:c r="K27" s="467" t="str">
        <x:v>Not Started</x:v>
      </x:c>
      <x:c r="L27" s="468"/>
      <x:c r="M27" s="469" t="str"/>
    </x:row>
    <x:row r="28" ht="82" customHeight="1">
      <x:c r="A28" s="490" t="n">
        <x:v>24</x:v>
      </x:c>
      <x:c r="B28" s="491" t="str">
        <x:f>IF('Start Here'!$C$6="","",'Start Here'!$C$6+A28-1)</x:f>
      </x:c>
      <x:c r="C28" s="492" t="str">
        <x:v>Block 4 | Operations</x:v>
      </x:c>
      <x:c r="D28" s="465" t="str">
        <x:v>Analytics, cost and ROI</x:v>
      </x:c>
      <x:c r="E28" s="465" t="str">
        <x:v>Measure business outcomes and recommend improvements using evidence.</x:v>
      </x:c>
      <x:c r="F28" s="465" t="str">
        <x:v>Learn containment, conversion, no-show, handling time, error rate, cost per call and cost per booking.</x:v>
      </x:c>
      <x:c r="G28" s="465" t="str">
        <x:v>Create a simple dashboard from synthetic call and appointment results; calculate monthly value assumptions.</x:v>
      </x:c>
      <x:c r="H28" s="465" t="str">
        <x:v>KPI dashboard and ROI narrative.</x:v>
      </x:c>
      <x:c r="I28" s="465" t="str">
        <x:v>Excel/GHL</x:v>
      </x:c>
      <x:c r="J28" s="466" t="n">
        <x:v>3</x:v>
      </x:c>
      <x:c r="K28" s="467" t="str">
        <x:v>Not Started</x:v>
      </x:c>
      <x:c r="L28" s="468"/>
      <x:c r="M28" s="469" t="str"/>
    </x:row>
    <x:row r="29" ht="82" customHeight="1">
      <x:c r="A29" s="490" t="n">
        <x:v>25</x:v>
      </x:c>
      <x:c r="B29" s="491" t="str">
        <x:f>IF('Start Here'!$C$6="","",'Start Here'!$C$6+A29-1)</x:f>
      </x:c>
      <x:c r="C29" s="492" t="str">
        <x:v>Block 4 | Operations</x:v>
      </x:c>
      <x:c r="D29" s="465" t="str">
        <x:v>Security and sensitive-data handling</x:v>
      </x:c>
      <x:c r="E29" s="465" t="str">
        <x:v>Design minimum-necessary access, retention and vendor controls.</x:v>
      </x:c>
      <x:c r="F29" s="465" t="str">
        <x:v>Study PHI/PII identification, encryption, secrets, role access, audit logs, deletion and vendor BAAs.</x:v>
      </x:c>
      <x:c r="G29" s="465" t="str">
        <x:v>Complete a data-flow inventory and vendor-risk checklist for the capstone; remove unnecessary data.</x:v>
      </x:c>
      <x:c r="H29" s="465" t="str">
        <x:v>Data-flow diagram and security checklist.</x:v>
      </x:c>
      <x:c r="I29" s="465" t="str">
        <x:v>All platforms</x:v>
      </x:c>
      <x:c r="J29" s="466" t="n">
        <x:v>3</x:v>
      </x:c>
      <x:c r="K29" s="467" t="str">
        <x:v>Not Started</x:v>
      </x:c>
      <x:c r="L29" s="468"/>
      <x:c r="M29" s="469" t="str"/>
    </x:row>
    <x:row r="30" ht="82" customHeight="1">
      <x:c r="A30" s="490" t="n">
        <x:v>26</x:v>
      </x:c>
      <x:c r="B30" s="491" t="str">
        <x:f>IF('Start Here'!$C$6="","",'Start Here'!$C$6+A30-1)</x:f>
      </x:c>
      <x:c r="C30" s="492" t="str">
        <x:v>Block 4 | Operations</x:v>
      </x:c>
      <x:c r="D30" s="465" t="str">
        <x:v>Medicare, CMS, TCPA and HIPAA awareness</x:v>
      </x:c>
      <x:c r="E30" s="465" t="str">
        <x:v>Recognize when automation requires consent, recording, disclosure, retention or licensed human review.</x:v>
      </x:c>
      <x:c r="F30" s="465" t="str">
        <x:v>Review official CMS, FCC, FTC and HHS resources in the Compliance and Resources tabs.</x:v>
      </x:c>
      <x:c r="G30" s="465" t="str">
        <x:v>Add compliance gates, DNC/STOP handling, recording notice, audit evidence and licensed-agent escalation.</x:v>
      </x:c>
      <x:c r="H30" s="465" t="str">
        <x:v>Compliance-aware system specification.</x:v>
      </x:c>
      <x:c r="I30" s="465" t="str">
        <x:v>CMS/FCC/HHS guidance</x:v>
      </x:c>
      <x:c r="J30" s="466" t="n">
        <x:v>3</x:v>
      </x:c>
      <x:c r="K30" s="467" t="str">
        <x:v>Not Started</x:v>
      </x:c>
      <x:c r="L30" s="468"/>
      <x:c r="M30" s="469" t="str"/>
    </x:row>
    <x:row r="31" ht="82" customHeight="1">
      <x:c r="A31" s="496" t="n">
        <x:v>27</x:v>
      </x:c>
      <x:c r="B31" s="497" t="str">
        <x:f>IF('Start Here'!$C$6="","",'Start Here'!$C$6+A31-1)</x:f>
      </x:c>
      <x:c r="C31" s="498" t="str">
        <x:v>Block 5 | Capstone</x:v>
      </x:c>
      <x:c r="D31" s="473" t="str">
        <x:v>End-to-end agency system</x:v>
      </x:c>
      <x:c r="E31" s="473" t="str">
        <x:v>Assemble the complete business process into one supportable design.</x:v>
      </x:c>
      <x:c r="F31" s="473" t="str">
        <x:v>Review every dependency, owner, API, data field, failure path, KPI and compliance gate.</x:v>
      </x:c>
      <x:c r="G31" s="473" t="str">
        <x:v>Connect inbound voice/chat → qualification → CRM → calendar → follow-up → human escalation → reporting.</x:v>
      </x:c>
      <x:c r="H31" s="473" t="str">
        <x:v>Capstone v1 and operating runbook.</x:v>
      </x:c>
      <x:c r="I31" s="473" t="str">
        <x:v>Full stack</x:v>
      </x:c>
      <x:c r="J31" s="474" t="n">
        <x:v>3</x:v>
      </x:c>
      <x:c r="K31" s="467" t="str">
        <x:v>Not Started</x:v>
      </x:c>
      <x:c r="L31" s="468"/>
      <x:c r="M31" s="469" t="str"/>
    </x:row>
    <x:row r="32" ht="82" customHeight="1">
      <x:c r="A32" s="496" t="n">
        <x:v>28</x:v>
      </x:c>
      <x:c r="B32" s="497" t="str">
        <x:f>IF('Start Here'!$C$6="","",'Start Here'!$C$6+A32-1)</x:f>
      </x:c>
      <x:c r="C32" s="498" t="str">
        <x:v>Block 5 | Capstone</x:v>
      </x:c>
      <x:c r="D32" s="473" t="str">
        <x:v>Quality assurance and launch readiness</x:v>
      </x:c>
      <x:c r="E32" s="473" t="str">
        <x:v>Prove the system behaves correctly under normal, bad-data and outage conditions.</x:v>
      </x:c>
      <x:c r="F32" s="473" t="str">
        <x:v>Study UAT, regression, load, rollback, incident response, monitoring and change control.</x:v>
      </x:c>
      <x:c r="G32" s="473" t="str">
        <x:v>Execute at least 40 tests; log defects, fix critical failures and document rollback steps.</x:v>
      </x:c>
      <x:c r="H32" s="473" t="str">
        <x:v>QA report, launch checklist and residual risks.</x:v>
      </x:c>
      <x:c r="I32" s="473" t="str">
        <x:v>Full stack</x:v>
      </x:c>
      <x:c r="J32" s="474" t="n">
        <x:v>3</x:v>
      </x:c>
      <x:c r="K32" s="467" t="str">
        <x:v>Not Started</x:v>
      </x:c>
      <x:c r="L32" s="468"/>
      <x:c r="M32" s="469" t="str"/>
    </x:row>
    <x:row r="33" ht="82" customHeight="1">
      <x:c r="A33" s="499" t="n">
        <x:v>29</x:v>
      </x:c>
      <x:c r="B33" s="500" t="str">
        <x:f>IF('Start Here'!$C$6="","",'Start Here'!$C$6+A33-1)</x:f>
      </x:c>
      <x:c r="C33" s="501" t="str">
        <x:v>Block 5 | Capstone</x:v>
      </x:c>
      <x:c r="D33" s="502" t="str">
        <x:v>Portfolio and case studies</x:v>
      </x:c>
      <x:c r="E33" s="502" t="str">
        <x:v>Explain what you built in terms of problem, design, controls, results and lessons.</x:v>
      </x:c>
      <x:c r="F33" s="502" t="str">
        <x:v>Study concise case-study structure and how to avoid overstating simulated results.</x:v>
      </x:c>
      <x:c r="G33" s="502" t="str">
        <x:v>Create three one-page case studies and 3–5 minute demos using only synthetic/test data.</x:v>
      </x:c>
      <x:c r="H33" s="502" t="str">
        <x:v>Portfolio package and demo links.</x:v>
      </x:c>
      <x:c r="I33" s="502" t="str">
        <x:v>Docs + screen recorder</x:v>
      </x:c>
      <x:c r="J33" s="503" t="n">
        <x:v>3</x:v>
      </x:c>
      <x:c r="K33" s="504" t="str">
        <x:v>Not Started</x:v>
      </x:c>
      <x:c r="L33" s="505"/>
      <x:c r="M33" s="506" t="str"/>
    </x:row>
    <x:row r="34" ht="82" customHeight="1">
      <x:c r="A34" s="496" t="n">
        <x:v>30</x:v>
      </x:c>
      <x:c r="B34" s="497" t="str">
        <x:f>IF('Start Here'!$C$6="","",'Start Here'!$C$6+A34-1)</x:f>
      </x:c>
      <x:c r="C34" s="498" t="str">
        <x:v>Block 5 | Capstone</x:v>
      </x:c>
      <x:c r="D34" s="473" t="str">
        <x:v>Mock interview and application</x:v>
      </x:c>
      <x:c r="E34" s="473" t="str">
        <x:v>Answer detailed architecture and business questions confidently and honestly.</x:v>
      </x:c>
      <x:c r="F34" s="473" t="str">
        <x:v>Review the Interview Prep and Skills Tracker tabs; identify weak answers and missing evidence.</x:v>
      </x:c>
      <x:c r="G34" s="473" t="str">
        <x:v>Run a 45-minute mock interview, improve answers, and tailor your application to the employer's needs.</x:v>
      </x:c>
      <x:c r="H34" s="473" t="str">
        <x:v>Final readiness score and application draft.</x:v>
      </x:c>
      <x:c r="I34" s="473" t="str">
        <x:v>Zoom + workbook</x:v>
      </x:c>
      <x:c r="J34" s="474" t="n">
        <x:v>3</x:v>
      </x:c>
      <x:c r="K34" s="507" t="str">
        <x:v>Not Started</x:v>
      </x:c>
      <x:c r="L34" s="508"/>
      <x:c r="M34" s="509" t="str"/>
    </x:row>
  </x:sheetData>
  <x:mergeCells>
    <x:mergeCell ref="A1:M1"/>
    <x:mergeCell ref="A2:M2"/>
  </x:mergeCells>
  <x:conditionalFormatting sqref="K5:K34">
    <x:cfRule type="containsText" dxfId="0" priority="1" operator="containsText" text="Completed"/>
    <x:cfRule type="containsText" dxfId="1" priority="2" operator="containsText" text="Blocked"/>
    <x:cfRule type="containsText" dxfId="2" priority="3" operator="containsText" text="In Progress"/>
  </x:conditionalFormatting>
  <x:conditionalFormatting sqref="L5:L34">
    <x:cfRule type="colorScale" priority="4">
      <x:colorScale>
        <x:cfvo type="min"/>
        <x:cfvo type="percentile" val="50"/>
        <x:cfvo type="max"/>
        <x:color rgb="FFFCEDEA"/>
        <x:color rgb="FFFFF7E1"/>
        <x:color rgb="FFEAF6EE"/>
      </x:colorScale>
    </x:cfRule>
  </x:conditionalFormatting>
  <x:dataValidations count="2">
    <x:dataValidation type="list" sqref="K5:K34">
      <x:formula1>"Not Started,In Progress,Blocked,Completed"</x:formula1>
    </x:dataValidation>
    <x:dataValidation type="whole" operator="between" sqref="L5:L34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c9eb6ad06764f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42" hidden="0" customWidth="1"/>
    <x:col min="5" max="5" width="38" hidden="0" customWidth="1"/>
    <x:col min="6" max="6" width="36" hidden="0" customWidth="1"/>
    <x:col min="7" max="7" width="12" hidden="0" customWidth="1"/>
    <x:col min="8" max="8" width="14" hidden="0" customWidth="1"/>
  </x:cols>
  <x:sheetData>
    <x:row r="1" ht="42" customHeight="1">
      <x:c r="A1" s="4" t="str">
        <x:v>Portfolio Projects</x:v>
      </x:c>
      <x:c r="B1" s="4" t="str">
        <x:v>Portfolio Projects</x:v>
      </x:c>
      <x:c r="C1" s="4" t="str">
        <x:v>Portfolio Projects</x:v>
      </x:c>
      <x:c r="D1" s="4" t="str">
        <x:v>Portfolio Projects</x:v>
      </x:c>
      <x:c r="E1" s="4" t="str">
        <x:v>Portfolio Projects</x:v>
      </x:c>
      <x:c r="F1" s="4" t="str">
        <x:v>Portfolio Projects</x:v>
      </x:c>
      <x:c r="G1" s="4" t="str">
        <x:v>Portfolio Projects</x:v>
      </x:c>
      <x:c r="H1" s="4" t="str">
        <x:v>Portfolio Projects</x:v>
      </x:c>
    </x:row>
    <x:row r="2" ht="32" customHeight="1">
      <x:c r="A2" s="139" t="str">
        <x:v>Use synthetic data. A portfolio project is complete only when it has a demo, architecture, tests, failure handling and a clear business result.</x:v>
      </x:c>
      <x:c r="B2" s="139" t="str">
        <x:v>Use synthetic data. A portfolio project is complete only when it has a demo, architecture, tests, failure handling and a clear business result.</x:v>
      </x:c>
      <x:c r="C2" s="139" t="str">
        <x:v>Use synthetic data. A portfolio project is complete only when it has a demo, architecture, tests, failure handling and a clear business result.</x:v>
      </x:c>
      <x:c r="D2" s="139" t="str">
        <x:v>Use synthetic data. A portfolio project is complete only when it has a demo, architecture, tests, failure handling and a clear business result.</x:v>
      </x:c>
      <x:c r="E2" s="139" t="str">
        <x:v>Use synthetic data. A portfolio project is complete only when it has a demo, architecture, tests, failure handling and a clear business result.</x:v>
      </x:c>
      <x:c r="F2" s="139" t="str">
        <x:v>Use synthetic data. A portfolio project is complete only when it has a demo, architecture, tests, failure handling and a clear business result.</x:v>
      </x:c>
      <x:c r="G2" s="139" t="str">
        <x:v>Use synthetic data. A portfolio project is complete only when it has a demo, architecture, tests, failure handling and a clear business result.</x:v>
      </x:c>
      <x:c r="H2" s="139" t="str">
        <x:v>Use synthetic data. A portfolio project is complete only when it has a demo, architecture, tests, failure handling and a clear business result.</x:v>
      </x:c>
    </x:row>
    <x:row r="3">
      <x:c r="A3" s="140"/>
      <x:c r="B3" s="140"/>
      <x:c r="C3" s="140"/>
      <x:c r="D3" s="140"/>
      <x:c r="E3" s="140"/>
      <x:c r="F3" s="140"/>
      <x:c r="G3" s="140"/>
      <x:c r="H3" s="140"/>
    </x:row>
    <x:row r="4" ht="34" customHeight="1">
      <x:c r="A4" s="451" t="str">
        <x:v>Project</x:v>
      </x:c>
      <x:c r="B4" s="452" t="str">
        <x:v>Business Problem</x:v>
      </x:c>
      <x:c r="C4" s="452" t="str">
        <x:v>Core Workflow</x:v>
      </x:c>
      <x:c r="D4" s="452" t="str">
        <x:v>Required Controls</x:v>
      </x:c>
      <x:c r="E4" s="452" t="str">
        <x:v>Proof / Deliverables</x:v>
      </x:c>
      <x:c r="F4" s="452" t="str">
        <x:v>Success Metrics</x:v>
      </x:c>
      <x:c r="G4" s="452" t="str">
        <x:v>Target Day</x:v>
      </x:c>
      <x:c r="H4" s="453" t="str">
        <x:v>Status</x:v>
      </x:c>
    </x:row>
    <x:row r="5" ht="102" customHeight="1">
      <x:c r="A5" s="510" t="str">
        <x:v>1. Lead Intake Automation</x:v>
      </x:c>
      <x:c r="B5" s="511" t="str">
        <x:v>Slow response and inconsistent lead routing.</x:v>
      </x:c>
      <x:c r="C5" s="511" t="str">
        <x:v>Form/webhook → validate → deduplicate → GHL contact/opportunity → owner alert → follow-up.</x:v>
      </x:c>
      <x:c r="D5" s="511" t="str">
        <x:v>Required-field validation, retry, duplicate protection, error queue and audit log.</x:v>
      </x:c>
      <x:c r="E5" s="511" t="str">
        <x:v>Workflow export, process diagram, 10 tests and 3-minute demo.</x:v>
      </x:c>
      <x:c r="F5" s="511" t="str">
        <x:v>100% valid leads recorded; duplicates suppressed; failures alerted.</x:v>
      </x:c>
      <x:c r="G5" s="512" t="n">
        <x:v>7</x:v>
      </x:c>
      <x:c r="H5" s="513" t="str">
        <x:v>Not Started</x:v>
      </x:c>
    </x:row>
    <x:row r="6" ht="102" customHeight="1">
      <x:c r="A6" s="514" t="str">
        <x:v>2. AI Customer Service</x:v>
      </x:c>
      <x:c r="B6" s="515" t="str">
        <x:v>Repetitive questions consume staff time and inconsistent answers create risk.</x:v>
      </x:c>
      <x:c r="C6" s="515" t="str">
        <x:v>Chat → approved knowledge → structured intent → ticket/CRM update → human escalation.</x:v>
      </x:c>
      <x:c r="D6" s="515" t="str">
        <x:v>Source-limited answers, authentication boundary, refusal rules, prompt-injection tests.</x:v>
      </x:c>
      <x:c r="E6" s="515" t="str">
        <x:v>Knowledge base, evaluation set, test report and demo.</x:v>
      </x:c>
      <x:c r="F6" s="515" t="str">
        <x:v>≥90% test accuracy; 100% unsupported/sensitive requests escalated.</x:v>
      </x:c>
      <x:c r="G6" s="516" t="n">
        <x:v>12</x:v>
      </x:c>
      <x:c r="H6" s="517" t="str">
        <x:v>Not Started</x:v>
      </x:c>
    </x:row>
    <x:row r="7" ht="102" customHeight="1">
      <x:c r="A7" s="518" t="str">
        <x:v>3. AI Receptionist</x:v>
      </x:c>
      <x:c r="B7" s="519" t="str">
        <x:v>Missed calls, manual qualification and appointment scheduling.</x:v>
      </x:c>
      <x:c r="C7" s="519" t="str">
        <x:v>Inbound call → disclosure → intent/FAQ → lead capture → calendar booking → transfer → post-call follow-up.</x:v>
      </x:c>
      <x:c r="D7" s="519" t="str">
        <x:v>No invented slots, call recording/consent configuration, DNC handling, licensed-agent escalation.</x:v>
      </x:c>
      <x:c r="E7" s="519" t="str">
        <x:v>30 call tests, call logs, architecture, scorecard and demo.</x:v>
      </x:c>
      <x:c r="F7" s="519" t="str">
        <x:v>≥90% tool-call accuracy; successful booking/transfer; no critical policy failures.</x:v>
      </x:c>
      <x:c r="G7" s="520" t="n">
        <x:v>20</x:v>
      </x:c>
      <x:c r="H7" s="517" t="str">
        <x:v>Not Started</x:v>
      </x:c>
    </x:row>
    <x:row r="8" ht="102" customHeight="1">
      <x:c r="A8" s="521" t="str">
        <x:v>4. Agency Capstone</x:v>
      </x:c>
      <x:c r="B8" s="522" t="str">
        <x:v>Disconnected communication, CRM and follow-up processes.</x:v>
      </x:c>
      <x:c r="C8" s="522" t="str">
        <x:v>Voice/chat → qualification → CRM → appointment → SMS/email → service queue → KPI dashboard.</x:v>
      </x:c>
      <x:c r="D8" s="522" t="str">
        <x:v>Least privilege, secrets, retries, monitoring, rollback, data minimization and audit trail.</x:v>
      </x:c>
      <x:c r="E8" s="522" t="str">
        <x:v>Runbook, 40+ QA tests, compliance checklist, KPI model and executive demo.</x:v>
      </x:c>
      <x:c r="F8" s="522" t="str">
        <x:v>All critical tests pass; failures recover or alert; metrics are traceable.</x:v>
      </x:c>
      <x:c r="G8" s="523" t="n">
        <x:v>28</x:v>
      </x:c>
      <x:c r="H8" s="517" t="str">
        <x:v>Not Started</x:v>
      </x:c>
    </x:row>
  </x:sheetData>
  <x:mergeCells>
    <x:mergeCell ref="A1:H1"/>
    <x:mergeCell ref="A2:H2"/>
  </x:mergeCells>
  <x:conditionalFormatting sqref="H5:H8">
    <x:cfRule type="containsText" dxfId="3" priority="1" operator="containsText" text="Completed"/>
  </x:conditionalFormatting>
  <x:dataValidations count="1">
    <x:dataValidation type="list" sqref="H5:H8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c92878f1dc47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13" hidden="0" customWidth="1"/>
    <x:col min="5" max="5" width="9" hidden="0" customWidth="1"/>
    <x:col min="6" max="6" width="38" hidden="0" customWidth="1"/>
    <x:col min="7" max="7" width="18" hidden="0" customWidth="1"/>
    <x:col min="8" max="8" width="32" hidden="0" customWidth="1"/>
  </x:cols>
  <x:sheetData>
    <x:row r="1" ht="42" customHeight="1">
      <x:c r="A1" s="4" t="str">
        <x:v>Skills Readiness Tracker</x:v>
      </x:c>
      <x:c r="B1" s="4" t="str">
        <x:v>Skills Readiness Tracker</x:v>
      </x:c>
      <x:c r="C1" s="4" t="str">
        <x:v>Skills Readiness Tracker</x:v>
      </x:c>
      <x:c r="D1" s="4" t="str">
        <x:v>Skills Readiness Tracker</x:v>
      </x:c>
      <x:c r="E1" s="4" t="str">
        <x:v>Skills Readiness Tracker</x:v>
      </x:c>
      <x:c r="F1" s="4" t="str">
        <x:v>Skills Readiness Tracker</x:v>
      </x:c>
      <x:c r="G1" s="4" t="str">
        <x:v>Skills Readiness Tracker</x:v>
      </x:c>
      <x:c r="H1" s="4" t="str">
        <x:v>Skills Readiness Tracker</x:v>
      </x:c>
    </x:row>
    <x:row r="2" ht="32" customHeight="1">
      <x:c r="A2" s="139" t="str">
        <x:v>Score yourself honestly from 1–5. A target-level score requires evidence: a working build, test result, architecture explanation or documented operating procedure.</x:v>
      </x:c>
      <x:c r="B2" s="139" t="str">
        <x:v>Score yourself honestly from 1–5. A target-level score requires evidence: a working build, test result, architecture explanation or documented operating procedure.</x:v>
      </x:c>
      <x:c r="C2" s="139" t="str">
        <x:v>Score yourself honestly from 1–5. A target-level score requires evidence: a working build, test result, architecture explanation or documented operating procedure.</x:v>
      </x:c>
      <x:c r="D2" s="139" t="str">
        <x:v>Score yourself honestly from 1–5. A target-level score requires evidence: a working build, test result, architecture explanation or documented operating procedure.</x:v>
      </x:c>
      <x:c r="E2" s="139" t="str">
        <x:v>Score yourself honestly from 1–5. A target-level score requires evidence: a working build, test result, architecture explanation or documented operating procedure.</x:v>
      </x:c>
      <x:c r="F2" s="139" t="str">
        <x:v>Score yourself honestly from 1–5. A target-level score requires evidence: a working build, test result, architecture explanation or documented operating procedure.</x:v>
      </x:c>
      <x:c r="G2" s="139" t="str">
        <x:v>Score yourself honestly from 1–5. A target-level score requires evidence: a working build, test result, architecture explanation or documented operating procedure.</x:v>
      </x:c>
      <x:c r="H2" s="139" t="str">
        <x:v>Score yourself honestly from 1–5. A target-level score requires evidence: a working build, test result, architecture explanation or documented operating procedure.</x:v>
      </x:c>
    </x:row>
    <x:row r="3">
      <x:c r="A3" s="140"/>
      <x:c r="B3" s="140"/>
      <x:c r="C3" s="140"/>
      <x:c r="D3" s="140"/>
      <x:c r="E3" s="140"/>
      <x:c r="F3" s="140"/>
      <x:c r="G3" s="140"/>
      <x:c r="H3" s="140"/>
    </x:row>
    <x:row r="4" ht="34" customHeight="1">
      <x:c r="A4" s="451" t="str">
        <x:v>Category</x:v>
      </x:c>
      <x:c r="B4" s="452" t="str">
        <x:v>Skill</x:v>
      </x:c>
      <x:c r="C4" s="452" t="str">
        <x:v>Target Level</x:v>
      </x:c>
      <x:c r="D4" s="452" t="str">
        <x:v>Current Level</x:v>
      </x:c>
      <x:c r="E4" s="452" t="str">
        <x:v>Gap</x:v>
      </x:c>
      <x:c r="F4" s="452" t="str">
        <x:v>Evidence Required</x:v>
      </x:c>
      <x:c r="G4" s="452" t="str">
        <x:v>Best Practice Days</x:v>
      </x:c>
      <x:c r="H4" s="453" t="str">
        <x:v>Evidence / Link</x:v>
      </x:c>
    </x:row>
    <x:row r="5" ht="50" customHeight="1">
      <x:c r="A5" s="524" t="str">
        <x:v>Business</x:v>
      </x:c>
      <x:c r="B5" s="525" t="str">
        <x:v>Process mapping and ROI</x:v>
      </x:c>
      <x:c r="C5" s="526" t="n">
        <x:v>4</x:v>
      </x:c>
      <x:c r="D5" s="527" t="n">
        <x:v>1</x:v>
      </x:c>
      <x:c r="E5" s="528" t="n">
        <x:f>MAX(0,C5-D5)</x:f>
        <x:v>3</x:v>
      </x:c>
      <x:c r="F5" s="525" t="str">
        <x:v>Process map + KPI/ROI model</x:v>
      </x:c>
      <x:c r="G5" s="525" t="str">
        <x:v>1, 24</x:v>
      </x:c>
      <x:c r="H5" s="529" t="str"/>
    </x:row>
    <x:row r="6" ht="50" customHeight="1">
      <x:c r="A6" s="530" t="str">
        <x:v>Integration</x:v>
      </x:c>
      <x:c r="B6" s="465" t="str">
        <x:v>APIs, JSON and webhooks</x:v>
      </x:c>
      <x:c r="C6" s="531" t="n">
        <x:v>4</x:v>
      </x:c>
      <x:c r="D6" s="532" t="n">
        <x:v>1</x:v>
      </x:c>
      <x:c r="E6" s="533" t="n">
        <x:f>MAX(0,C6-D6)</x:f>
        <x:v>3</x:v>
      </x:c>
      <x:c r="F6" s="465" t="str">
        <x:v>Working API/webhook tests</x:v>
      </x:c>
      <x:c r="G6" s="465" t="str">
        <x:v>2–3</x:v>
      </x:c>
      <x:c r="H6" s="469" t="str"/>
    </x:row>
    <x:row r="7" ht="50" customHeight="1">
      <x:c r="A7" s="530" t="str">
        <x:v>GoHighLevel</x:v>
      </x:c>
      <x:c r="B7" s="465" t="str">
        <x:v>CRM, workflows and calendars</x:v>
      </x:c>
      <x:c r="C7" s="531" t="n">
        <x:v>5</x:v>
      </x:c>
      <x:c r="D7" s="532" t="n">
        <x:v>1</x:v>
      </x:c>
      <x:c r="E7" s="533" t="n">
        <x:f>MAX(0,C7-D7)</x:f>
        <x:v>4</x:v>
      </x:c>
      <x:c r="F7" s="465" t="str">
        <x:v>Build 1 + calendar tests</x:v>
      </x:c>
      <x:c r="G7" s="465" t="str">
        <x:v>4–7</x:v>
      </x:c>
      <x:c r="H7" s="469" t="str"/>
    </x:row>
    <x:row r="8" ht="50" customHeight="1">
      <x:c r="A8" s="530" t="str">
        <x:v>LLMs</x:v>
      </x:c>
      <x:c r="B8" s="465" t="str">
        <x:v>Prompting and structured output</x:v>
      </x:c>
      <x:c r="C8" s="531" t="n">
        <x:v>4</x:v>
      </x:c>
      <x:c r="D8" s="532" t="n">
        <x:v>1</x:v>
      </x:c>
      <x:c r="E8" s="533" t="n">
        <x:f>MAX(0,C8-D8)</x:f>
        <x:v>3</x:v>
      </x:c>
      <x:c r="F8" s="465" t="str">
        <x:v>Prompt tests + JSON schema</x:v>
      </x:c>
      <x:c r="G8" s="465" t="str">
        <x:v>8–9</x:v>
      </x:c>
      <x:c r="H8" s="469" t="str"/>
    </x:row>
    <x:row r="9" ht="50" customHeight="1">
      <x:c r="A9" s="530" t="str">
        <x:v>LLMs</x:v>
      </x:c>
      <x:c r="B9" s="465" t="str">
        <x:v>Knowledge/RAG and evaluations</x:v>
      </x:c>
      <x:c r="C9" s="531" t="n">
        <x:v>4</x:v>
      </x:c>
      <x:c r="D9" s="532" t="n">
        <x:v>1</x:v>
      </x:c>
      <x:c r="E9" s="533" t="n">
        <x:f>MAX(0,C9-D9)</x:f>
        <x:v>3</x:v>
      </x:c>
      <x:c r="F9" s="465" t="str">
        <x:v>FAQ eval set and report</x:v>
      </x:c>
      <x:c r="G9" s="465" t="str">
        <x:v>10–12</x:v>
      </x:c>
      <x:c r="H9" s="469" t="str"/>
    </x:row>
    <x:row r="10" ht="50" customHeight="1">
      <x:c r="A10" s="530" t="str">
        <x:v>Automation</x:v>
      </x:c>
      <x:c r="B10" s="465" t="str">
        <x:v>n8n/Make workflow engineering</x:v>
      </x:c>
      <x:c r="C10" s="531" t="n">
        <x:v>4</x:v>
      </x:c>
      <x:c r="D10" s="532" t="n">
        <x:v>1</x:v>
      </x:c>
      <x:c r="E10" s="533" t="n">
        <x:f>MAX(0,C10-D10)</x:f>
        <x:v>3</x:v>
      </x:c>
      <x:c r="F10" s="465" t="str">
        <x:v>Workflow export + failure recovery</x:v>
      </x:c>
      <x:c r="G10" s="465" t="str">
        <x:v>13–15</x:v>
      </x:c>
      <x:c r="H10" s="469" t="str"/>
    </x:row>
    <x:row r="11" ht="50" customHeight="1">
      <x:c r="A11" s="530" t="str">
        <x:v>Voice AI</x:v>
      </x:c>
      <x:c r="B11" s="465" t="str">
        <x:v>Voice architecture and platform setup</x:v>
      </x:c>
      <x:c r="C11" s="531" t="n">
        <x:v>4</x:v>
      </x:c>
      <x:c r="D11" s="532" t="n">
        <x:v>1</x:v>
      </x:c>
      <x:c r="E11" s="533" t="n">
        <x:f>MAX(0,C11-D11)</x:f>
        <x:v>3</x:v>
      </x:c>
      <x:c r="F11" s="465" t="str">
        <x:v>Working inbound voice agent</x:v>
      </x:c>
      <x:c r="G11" s="465" t="str">
        <x:v>16–17</x:v>
      </x:c>
      <x:c r="H11" s="469" t="str"/>
    </x:row>
    <x:row r="12" ht="50" customHeight="1">
      <x:c r="A12" s="530" t="str">
        <x:v>Voice AI</x:v>
      </x:c>
      <x:c r="B12" s="465" t="str">
        <x:v>Booking, transfers and testing</x:v>
      </x:c>
      <x:c r="C12" s="531" t="n">
        <x:v>4</x:v>
      </x:c>
      <x:c r="D12" s="532" t="n">
        <x:v>1</x:v>
      </x:c>
      <x:c r="E12" s="533" t="n">
        <x:f>MAX(0,C12-D12)</x:f>
        <x:v>3</x:v>
      </x:c>
      <x:c r="F12" s="465" t="str">
        <x:v>30-call capstone scorecard</x:v>
      </x:c>
      <x:c r="G12" s="465" t="str">
        <x:v>18–20</x:v>
      </x:c>
      <x:c r="H12" s="469" t="str"/>
    </x:row>
    <x:row r="13" ht="50" customHeight="1">
      <x:c r="A13" s="530" t="str">
        <x:v>Lifecycle</x:v>
      </x:c>
      <x:c r="B13" s="465" t="str">
        <x:v>SMS/email follow-up systems</x:v>
      </x:c>
      <x:c r="C13" s="531" t="n">
        <x:v>4</x:v>
      </x:c>
      <x:c r="D13" s="532" t="n">
        <x:v>1</x:v>
      </x:c>
      <x:c r="E13" s="533" t="n">
        <x:f>MAX(0,C13-D13)</x:f>
        <x:v>3</x:v>
      </x:c>
      <x:c r="F13" s="465" t="str">
        <x:v>Sequences + STOP/DNC tests</x:v>
      </x:c>
      <x:c r="G13" s="465" t="str">
        <x:v>21–22</x:v>
      </x:c>
      <x:c r="H13" s="469" t="str"/>
    </x:row>
    <x:row r="14" ht="50" customHeight="1">
      <x:c r="A14" s="530" t="str">
        <x:v>Service</x:v>
      </x:c>
      <x:c r="B14" s="465" t="str">
        <x:v>Customer-service operations</x:v>
      </x:c>
      <x:c r="C14" s="531" t="n">
        <x:v>4</x:v>
      </x:c>
      <x:c r="D14" s="532" t="n">
        <x:v>1</x:v>
      </x:c>
      <x:c r="E14" s="533" t="n">
        <x:f>MAX(0,C14-D14)</x:f>
        <x:v>3</x:v>
      </x:c>
      <x:c r="F14" s="465" t="str">
        <x:v>Ticketing and escalation build</x:v>
      </x:c>
      <x:c r="G14" s="465" t="str">
        <x:v>23</x:v>
      </x:c>
      <x:c r="H14" s="469" t="str"/>
    </x:row>
    <x:row r="15" ht="50" customHeight="1">
      <x:c r="A15" s="530" t="str">
        <x:v>Security</x:v>
      </x:c>
      <x:c r="B15" s="465" t="str">
        <x:v>PII/PHI, access and vendor risk</x:v>
      </x:c>
      <x:c r="C15" s="531" t="n">
        <x:v>4</x:v>
      </x:c>
      <x:c r="D15" s="532" t="n">
        <x:v>1</x:v>
      </x:c>
      <x:c r="E15" s="533" t="n">
        <x:f>MAX(0,C15-D15)</x:f>
        <x:v>3</x:v>
      </x:c>
      <x:c r="F15" s="465" t="str">
        <x:v>Data flow + vendor checklist</x:v>
      </x:c>
      <x:c r="G15" s="465" t="str">
        <x:v>25</x:v>
      </x:c>
      <x:c r="H15" s="469" t="str"/>
    </x:row>
    <x:row r="16" ht="50" customHeight="1">
      <x:c r="A16" s="530" t="str">
        <x:v>Compliance</x:v>
      </x:c>
      <x:c r="B16" s="465" t="str">
        <x:v>CMS/TCPA/HIPAA awareness</x:v>
      </x:c>
      <x:c r="C16" s="531" t="n">
        <x:v>4</x:v>
      </x:c>
      <x:c r="D16" s="532" t="n">
        <x:v>1</x:v>
      </x:c>
      <x:c r="E16" s="533" t="n">
        <x:f>MAX(0,C16-D16)</x:f>
        <x:v>3</x:v>
      </x:c>
      <x:c r="F16" s="465" t="str">
        <x:v>Compliance-aware specification</x:v>
      </x:c>
      <x:c r="G16" s="465" t="str">
        <x:v>26</x:v>
      </x:c>
      <x:c r="H16" s="469" t="str"/>
    </x:row>
    <x:row r="17" ht="50" customHeight="1">
      <x:c r="A17" s="530" t="str">
        <x:v>Operations</x:v>
      </x:c>
      <x:c r="B17" s="465" t="str">
        <x:v>QA, monitoring and incident response</x:v>
      </x:c>
      <x:c r="C17" s="531" t="n">
        <x:v>4</x:v>
      </x:c>
      <x:c r="D17" s="532" t="n">
        <x:v>1</x:v>
      </x:c>
      <x:c r="E17" s="533" t="n">
        <x:f>MAX(0,C17-D17)</x:f>
        <x:v>3</x:v>
      </x:c>
      <x:c r="F17" s="465" t="str">
        <x:v>40+ test QA report + runbook</x:v>
      </x:c>
      <x:c r="G17" s="465" t="str">
        <x:v>27–28</x:v>
      </x:c>
      <x:c r="H17" s="469" t="str"/>
    </x:row>
    <x:row r="18" ht="50" customHeight="1">
      <x:c r="A18" s="534" t="str">
        <x:v>Communication</x:v>
      </x:c>
      <x:c r="B18" s="535" t="str">
        <x:v>Case studies and technical interview</x:v>
      </x:c>
      <x:c r="C18" s="536" t="n">
        <x:v>4</x:v>
      </x:c>
      <x:c r="D18" s="537" t="n">
        <x:v>1</x:v>
      </x:c>
      <x:c r="E18" s="538" t="n">
        <x:f>MAX(0,C18-D18)</x:f>
        <x:v>3</x:v>
      </x:c>
      <x:c r="F18" s="535" t="str">
        <x:v>Three case studies + mock interview</x:v>
      </x:c>
      <x:c r="G18" s="535" t="str">
        <x:v>29–30</x:v>
      </x:c>
      <x:c r="H18" s="509" t="str"/>
    </x:row>
  </x:sheetData>
  <x:mergeCells>
    <x:mergeCell ref="A1:H1"/>
    <x:mergeCell ref="A2:H2"/>
  </x:mergeCells>
  <x:conditionalFormatting sqref="E5:E18">
    <x:cfRule type="colorScale" priority="1">
      <x:colorScale>
        <x:cfvo type="min"/>
        <x:cfvo type="percentile" val="50"/>
        <x:cfvo type="max"/>
        <x:color rgb="FFEAF6EE"/>
        <x:color rgb="FFFFF7E1"/>
        <x:color rgb="FFFCEDEA"/>
      </x:colorScale>
    </x:cfRule>
  </x:conditionalFormatting>
  <x:dataValidations count="1">
    <x:dataValidation type="whole" operator="between" sqref="D5:D18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01bf776ceaf4c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48" hidden="0" customWidth="1"/>
    <x:col min="4" max="4" width="34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42" customHeight="1">
      <x:c r="A1" s="4" t="str">
        <x:v>Medicare &amp; Healthcare Automation Checkpoints</x:v>
      </x:c>
      <x:c r="B1" s="4" t="str">
        <x:v>Medicare &amp; Healthcare Automation Checkpoints</x:v>
      </x:c>
      <x:c r="C1" s="4" t="str">
        <x:v>Medicare &amp; Healthcare Automation Checkpoints</x:v>
      </x:c>
      <x:c r="D1" s="4" t="str">
        <x:v>Medicare &amp; Healthcare Automation Checkpoints</x:v>
      </x:c>
      <x:c r="E1" s="4" t="str">
        <x:v>Medicare &amp; Healthcare Automation Checkpoints</x:v>
      </x:c>
      <x:c r="F1" s="4" t="str">
        <x:v>Medicare &amp; Healthcare Automation Checkpoints</x:v>
      </x:c>
      <x:c r="G1" s="4" t="str">
        <x:v>Medicare &amp; Healthcare Automation Checkpoints</x:v>
      </x:c>
    </x:row>
    <x:row r="2" ht="32" customHeight="1">
      <x:c r="A2" s="139" t="str">
        <x:v>Training checklist—not legal advice. Confirm current federal/state requirements, carrier rules and agency counsel before deployment. Use synthetic data during learning.</x:v>
      </x:c>
      <x:c r="B2" s="139" t="str">
        <x:v>Training checklist—not legal advice. Confirm current federal/state requirements, carrier rules and agency counsel before deployment. Use synthetic data during learning.</x:v>
      </x:c>
      <x:c r="C2" s="139" t="str">
        <x:v>Training checklist—not legal advice. Confirm current federal/state requirements, carrier rules and agency counsel before deployment. Use synthetic data during learning.</x:v>
      </x:c>
      <x:c r="D2" s="139" t="str">
        <x:v>Training checklist—not legal advice. Confirm current federal/state requirements, carrier rules and agency counsel before deployment. Use synthetic data during learning.</x:v>
      </x:c>
      <x:c r="E2" s="139" t="str">
        <x:v>Training checklist—not legal advice. Confirm current federal/state requirements, carrier rules and agency counsel before deployment. Use synthetic data during learning.</x:v>
      </x:c>
      <x:c r="F2" s="139" t="str">
        <x:v>Training checklist—not legal advice. Confirm current federal/state requirements, carrier rules and agency counsel before deployment. Use synthetic data during learning.</x:v>
      </x:c>
      <x:c r="G2" s="139" t="str">
        <x:v>Training checklist—not legal advice. Confirm current federal/state requirements, carrier rules and agency counsel before deployment. Use synthetic data during learning.</x:v>
      </x:c>
    </x:row>
    <x:row r="3">
      <x:c r="A3" s="140"/>
      <x:c r="B3" s="140"/>
      <x:c r="C3" s="140"/>
      <x:c r="D3" s="140"/>
      <x:c r="E3" s="140"/>
      <x:c r="F3" s="140"/>
      <x:c r="G3" s="140"/>
    </x:row>
    <x:row r="4" ht="34" customHeight="1">
      <x:c r="A4" s="451" t="str">
        <x:v>Area</x:v>
      </x:c>
      <x:c r="B4" s="452" t="str">
        <x:v>Question Before Launch</x:v>
      </x:c>
      <x:c r="C4" s="452" t="str">
        <x:v>Expected Control</x:v>
      </x:c>
      <x:c r="D4" s="452" t="str">
        <x:v>Evidence</x:v>
      </x:c>
      <x:c r="E4" s="452" t="str">
        <x:v>Owner</x:v>
      </x:c>
      <x:c r="F4" s="452" t="str">
        <x:v>Status</x:v>
      </x:c>
      <x:c r="G4" s="453" t="str">
        <x:v>Official Source</x:v>
      </x:c>
    </x:row>
    <x:row r="5" ht="82" customHeight="1">
      <x:c r="A5" s="539" t="str">
        <x:v>AI voice / TCPA</x:v>
      </x:c>
      <x:c r="B5" s="525" t="str">
        <x:v>Is this outbound call using an artificial or prerecorded voice, and is the required consent documented?</x:v>
      </x:c>
      <x:c r="C5" s="525" t="str">
        <x:v>Eligibility gate before dialing; timestamped consent evidence; caller identification and opt-out path.</x:v>
      </x:c>
      <x:c r="D5" s="529" t="str">
        <x:v>Consent record + dial decision log</x:v>
      </x:c>
      <x:c r="E5" s="529" t="str">
        <x:v>Compliance</x:v>
      </x:c>
      <x:c r="F5" s="529" t="str">
        <x:v>Not Reviewed</x:v>
      </x:c>
      <x:c r="G5" s="540" t="str">
        <x:v>https://docs.fcc.gov/public/attachments/FCC-24-17A1_Rcd.pdf</x:v>
      </x:c>
    </x:row>
    <x:row r="6" ht="82" customHeight="1">
      <x:c r="A6" s="541" t="str">
        <x:v>Do Not Call</x:v>
      </x:c>
      <x:c r="B6" s="465" t="str">
        <x:v>Are National, state and entity-specific DNC/STOP requests suppressed?</x:v>
      </x:c>
      <x:c r="C6" s="465" t="str">
        <x:v>Central suppression list checked before contact; immediate STOP/DNC update across channels.</x:v>
      </x:c>
      <x:c r="D6" s="469" t="str">
        <x:v>Suppression test + audit log</x:v>
      </x:c>
      <x:c r="E6" s="469" t="str">
        <x:v>Compliance</x:v>
      </x:c>
      <x:c r="F6" s="469" t="str">
        <x:v>Not Reviewed</x:v>
      </x:c>
      <x:c r="G6" s="542" t="str">
        <x:v>https://www.ftc.gov/business-guidance/resources/complying-telemarketing-sales-rule</x:v>
      </x:c>
    </x:row>
    <x:row r="7" ht="82" customHeight="1">
      <x:c r="A7" s="541" t="str">
        <x:v>Medicare contact</x:v>
      </x:c>
      <x:c r="B7" s="465" t="str">
        <x:v>Did the beneficiary initiate contact or provide permission for the specific follow-up?</x:v>
      </x:c>
      <x:c r="C7" s="465" t="str">
        <x:v>No unsolicited Medicare cold-calling; store source, purpose, seller and permission evidence.</x:v>
      </x:c>
      <x:c r="D7" s="469" t="str">
        <x:v>Lead provenance + permission record</x:v>
      </x:c>
      <x:c r="E7" s="469" t="str">
        <x:v>Licensed lead</x:v>
      </x:c>
      <x:c r="F7" s="469" t="str">
        <x:v>Not Reviewed</x:v>
      </x:c>
      <x:c r="G7" s="542" t="str">
        <x:v>https://www.cms.gov/medicare/health-drug-plans/managed-care-marketing/medicare-guidelines</x:v>
      </x:c>
    </x:row>
    <x:row r="8" ht="82" customHeight="1">
      <x:c r="A8" s="541" t="str">
        <x:v>TPMO data sharing</x:v>
      </x:c>
      <x:c r="B8" s="465" t="str">
        <x:v>If beneficiary data is shared with another TPMO, is one-to-one written consent present?</x:v>
      </x:c>
      <x:c r="C8" s="465" t="str">
        <x:v>Separate transparent consent per recipient TPMO; block transfer if missing.</x:v>
      </x:c>
      <x:c r="D8" s="469" t="str">
        <x:v>Consent text, timestamp and recipient</x:v>
      </x:c>
      <x:c r="E8" s="469" t="str">
        <x:v>Compliance</x:v>
      </x:c>
      <x:c r="F8" s="469" t="str">
        <x:v>Not Reviewed</x:v>
      </x:c>
      <x:c r="G8" s="542" t="str">
        <x:v>https://www.cms.gov/newsroom/fact-sheets/contract-year-2025-medicare-advantage-part-d-final-rule-cms-4205-f</x:v>
      </x:c>
    </x:row>
    <x:row r="9" ht="82" customHeight="1">
      <x:c r="A9" s="541" t="str">
        <x:v>Call recording</x:v>
      </x:c>
      <x:c r="B9" s="465" t="str">
        <x:v>Must this marketing, sales or enrollment call be recorded and retained?</x:v>
      </x:c>
      <x:c r="C9" s="465" t="str">
        <x:v>Record the complete required call, protect access and follow approved retention policy.</x:v>
      </x:c>
      <x:c r="D9" s="469" t="str">
        <x:v>Recording ID + retention metadata</x:v>
      </x:c>
      <x:c r="E9" s="469" t="str">
        <x:v>Compliance/IT</x:v>
      </x:c>
      <x:c r="F9" s="469" t="str">
        <x:v>Not Reviewed</x:v>
      </x:c>
      <x:c r="G9" s="542" t="str">
        <x:v>https://www.cms.gov/files/document/cy2026agentbrokertrainingtestingguidelinespdf.pdf</x:v>
      </x:c>
    </x:row>
    <x:row r="10" ht="82" customHeight="1">
      <x:c r="A10" s="541" t="str">
        <x:v>Licensed activity</x:v>
      </x:c>
      <x:c r="B10" s="465" t="str">
        <x:v>Could the AI be interpreting benefits, recommending a plan or enrolling someone?</x:v>
      </x:c>
      <x:c r="C10" s="465" t="str">
        <x:v>Restrict AI to approved administrative tasks; transfer regulated advice and enrollment to an appropriately licensed agent.</x:v>
      </x:c>
      <x:c r="D10" s="469" t="str">
        <x:v>Prompt rule + transfer tests</x:v>
      </x:c>
      <x:c r="E10" s="469" t="str">
        <x:v>Licensed agent</x:v>
      </x:c>
      <x:c r="F10" s="469" t="str">
        <x:v>Not Reviewed</x:v>
      </x:c>
      <x:c r="G10" s="542" t="str">
        <x:v>https://www.cms.gov/medicare/health-drug-plans/managed-care-marketing/medicare-marketing-guidelines/agent-broker-compensation</x:v>
      </x:c>
    </x:row>
    <x:row r="11" ht="82" customHeight="1">
      <x:c r="A11" s="541" t="str">
        <x:v>PHI / HIPAA</x:v>
      </x:c>
      <x:c r="B11" s="465" t="str">
        <x:v>Will any vendor create, receive, maintain or transmit ePHI for a covered entity/business associate?</x:v>
      </x:c>
      <x:c r="C11" s="465" t="str">
        <x:v>Confirm regulatory role, BAA, permitted use, risk analysis, access, encryption, retention and incident process.</x:v>
      </x:c>
      <x:c r="D11" s="469" t="str">
        <x:v>Vendor approval + BAA + data flow</x:v>
      </x:c>
      <x:c r="E11" s="469" t="str">
        <x:v>Privacy/Security</x:v>
      </x:c>
      <x:c r="F11" s="469" t="str">
        <x:v>Not Reviewed</x:v>
      </x:c>
      <x:c r="G11" s="542" t="str">
        <x:v>https://www.hhs.gov/hipaa/for-professionals/special-topics/health-information-technology/cloud-computing/index.html</x:v>
      </x:c>
    </x:row>
    <x:row r="12" ht="82" customHeight="1">
      <x:c r="A12" s="541" t="str">
        <x:v>Data minimization</x:v>
      </x:c>
      <x:c r="B12" s="465" t="str">
        <x:v>Does the workflow collect only what it needs for the approved purpose?</x:v>
      </x:c>
      <x:c r="C12" s="465" t="str">
        <x:v>Remove unnecessary fields from prompts, transcripts, logs and notifications; mask sensitive values.</x:v>
      </x:c>
      <x:c r="D12" s="469" t="str">
        <x:v>Field inventory + minimization review</x:v>
      </x:c>
      <x:c r="E12" s="469" t="str">
        <x:v>System owner</x:v>
      </x:c>
      <x:c r="F12" s="469" t="str">
        <x:v>Not Reviewed</x:v>
      </x:c>
      <x:c r="G12" s="542" t="str">
        <x:v>https://www.hhs.gov/hipaa/for-professionals/privacy/index.html</x:v>
      </x:c>
    </x:row>
    <x:row r="13" ht="82" customHeight="1">
      <x:c r="A13" s="541" t="str">
        <x:v>Human escalation</x:v>
      </x:c>
      <x:c r="B13" s="465" t="str">
        <x:v>Can the AI recognize uncertainty, complaints, emergencies and explicit requests for a human?</x:v>
      </x:c>
      <x:c r="C13" s="465" t="str">
        <x:v>Defined transfer triggers, safe fallback, after-hours route and failed-transfer alert.</x:v>
      </x:c>
      <x:c r="D13" s="469" t="str">
        <x:v>Scenario tests + routing table</x:v>
      </x:c>
      <x:c r="E13" s="469" t="str">
        <x:v>Operations</x:v>
      </x:c>
      <x:c r="F13" s="469" t="str">
        <x:v>Not Reviewed</x:v>
      </x:c>
      <x:c r="G13" s="542" t="str">
        <x:v>https://elevenlabs.io/docs/eleven-agents/customization/tools/system-tools/transfer-to-number</x:v>
      </x:c>
    </x:row>
    <x:row r="14" ht="82" customHeight="1">
      <x:c r="A14" s="543" t="str">
        <x:v>Audit &amp; incidents</x:v>
      </x:c>
      <x:c r="B14" s="535" t="str">
        <x:v>Can the team reconstruct what happened and respond to an error?</x:v>
      </x:c>
      <x:c r="C14" s="535" t="str">
        <x:v>Log consent decision, model/tool result, record changes, owner, error and recovery without exposing excess sensitive data.</x:v>
      </x:c>
      <x:c r="D14" s="509" t="str">
        <x:v>Audit sample + incident runbook</x:v>
      </x:c>
      <x:c r="E14" s="509" t="str">
        <x:v>IT/Operations</x:v>
      </x:c>
      <x:c r="F14" s="509" t="str">
        <x:v>Not Reviewed</x:v>
      </x:c>
      <x:c r="G14" s="544" t="str">
        <x:v>https://www.hhs.gov/hipaa/for-professionals/security/laws-regulations/index.html</x:v>
      </x:c>
    </x:row>
  </x:sheetData>
  <x:mergeCells>
    <x:mergeCell ref="A1:G1"/>
    <x:mergeCell ref="A2:G2"/>
  </x:mergeCells>
  <x:conditionalFormatting sqref="F5:F14">
    <x:cfRule type="containsText" dxfId="4" priority="1" operator="containsText" text="Approved"/>
    <x:cfRule type="containsText" dxfId="5" priority="2" operator="containsText" text="Blocked"/>
    <x:cfRule type="containsText" dxfId="6" priority="3" operator="containsText" text="Needs Review"/>
  </x:conditionalFormatting>
  <x:dataValidations count="1">
    <x:dataValidation type="list" sqref="F5:F14">
      <x:formula1>"Not Reviewed,Needs Review,Approved,Blocked"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da61e939641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64" hidden="0" customWidth="1"/>
    <x:col min="4" max="4" width="46" hidden="0" customWidth="1"/>
    <x:col min="5" max="5" width="30" hidden="0" customWidth="1"/>
    <x:col min="6" max="6" width="16" hidden="0" customWidth="1"/>
  </x:cols>
  <x:sheetData>
    <x:row r="1" ht="42" customHeight="1">
      <x:c r="A1" s="4" t="str">
        <x:v>Interview Preparation</x:v>
      </x:c>
      <x:c r="B1" s="4" t="str">
        <x:v>Interview Preparation</x:v>
      </x:c>
      <x:c r="C1" s="4" t="str">
        <x:v>Interview Preparation</x:v>
      </x:c>
      <x:c r="D1" s="4" t="str">
        <x:v>Interview Preparation</x:v>
      </x:c>
      <x:c r="E1" s="4" t="str">
        <x:v>Interview Preparation</x:v>
      </x:c>
      <x:c r="F1" s="4" t="str">
        <x:v>Interview Preparation</x:v>
      </x:c>
    </x:row>
    <x:row r="2" ht="32" customHeight="1">
      <x:c r="A2" s="139" t="str">
        <x:v>Answer in this order: business problem → architecture → controls/failure paths → human handoff → metrics. Use evidence from your portfolio; never invent client outcomes.</x:v>
      </x:c>
      <x:c r="B2" s="139" t="str">
        <x:v>Answer in this order: business problem → architecture → controls/failure paths → human handoff → metrics. Use evidence from your portfolio; never invent client outcomes.</x:v>
      </x:c>
      <x:c r="C2" s="139" t="str">
        <x:v>Answer in this order: business problem → architecture → controls/failure paths → human handoff → metrics. Use evidence from your portfolio; never invent client outcomes.</x:v>
      </x:c>
      <x:c r="D2" s="139" t="str">
        <x:v>Answer in this order: business problem → architecture → controls/failure paths → human handoff → metrics. Use evidence from your portfolio; never invent client outcomes.</x:v>
      </x:c>
      <x:c r="E2" s="139" t="str">
        <x:v>Answer in this order: business problem → architecture → controls/failure paths → human handoff → metrics. Use evidence from your portfolio; never invent client outcomes.</x:v>
      </x:c>
      <x:c r="F2" s="139" t="str">
        <x:v>Answer in this order: business problem → architecture → controls/failure paths → human handoff → metrics. Use evidence from your portfolio; never invent client outcomes.</x:v>
      </x:c>
    </x:row>
    <x:row r="3">
      <x:c r="A3" s="140"/>
      <x:c r="B3" s="140"/>
      <x:c r="C3" s="140"/>
      <x:c r="D3" s="140"/>
      <x:c r="E3" s="140"/>
      <x:c r="F3" s="140"/>
    </x:row>
    <x:row r="4" ht="34" customHeight="1">
      <x:c r="A4" s="451" t="str">
        <x:v>#</x:v>
      </x:c>
      <x:c r="B4" s="452" t="str">
        <x:v>Interview Question</x:v>
      </x:c>
      <x:c r="C4" s="452" t="str">
        <x:v>A Strong Answer Must Include</x:v>
      </x:c>
      <x:c r="D4" s="452" t="str">
        <x:v>Your Answer Notes</x:v>
      </x:c>
      <x:c r="E4" s="452" t="str">
        <x:v>Evidence / Project</x:v>
      </x:c>
      <x:c r="F4" s="453" t="str">
        <x:v>Confidence (1–5)</x:v>
      </x:c>
    </x:row>
    <x:row r="5" ht="64" customHeight="1">
      <x:c r="A5" s="545" t="n">
        <x:v>1</x:v>
      </x:c>
      <x:c r="B5" s="546" t="str">
        <x:v>How would you design an AI receptionist for our Medicare agency?</x:v>
      </x:c>
      <x:c r="C5" s="547" t="str">
        <x:v>Inbound-only starting scope, approved knowledge, CRM/calendar tools, licensed-agent transfer, consent/recording controls, post-call workflow and KPIs.</x:v>
      </x:c>
      <x:c r="D5" s="529" t="str"/>
      <x:c r="E5" s="529" t="str"/>
      <x:c r="F5" s="548" t="n">
        <x:v>1</x:v>
      </x:c>
    </x:row>
    <x:row r="6" ht="64" customHeight="1">
      <x:c r="A6" s="549" t="n">
        <x:v>2</x:v>
      </x:c>
      <x:c r="B6" s="550" t="str">
        <x:v>When should the AI transfer to a human?</x:v>
      </x:c>
      <x:c r="C6" s="551" t="str">
        <x:v>Explicit request, uncertainty, regulated advice/enrollment, complaint, authentication, emergency, tool failure and sensitive exception.</x:v>
      </x:c>
      <x:c r="D6" s="469" t="str"/>
      <x:c r="E6" s="469" t="str"/>
      <x:c r="F6" s="552" t="n">
        <x:v>1</x:v>
      </x:c>
    </x:row>
    <x:row r="7" ht="64" customHeight="1">
      <x:c r="A7" s="549" t="n">
        <x:v>3</x:v>
      </x:c>
      <x:c r="B7" s="550" t="str">
        <x:v>How do you stop hallucinated appointment slots?</x:v>
      </x:c>
      <x:c r="C7" s="551" t="str">
        <x:v>Calendar is source of truth; tool-only availability; parameter validation; confirmation; idempotency; failure fallback.</x:v>
      </x:c>
      <x:c r="D7" s="469" t="str"/>
      <x:c r="E7" s="469" t="str"/>
      <x:c r="F7" s="552" t="n">
        <x:v>1</x:v>
      </x:c>
    </x:row>
    <x:row r="8" ht="64" customHeight="1">
      <x:c r="A8" s="549" t="n">
        <x:v>4</x:v>
      </x:c>
      <x:c r="B8" s="550" t="str">
        <x:v>How do you prevent duplicate contacts or appointments?</x:v>
      </x:c>
      <x:c r="C8" s="551" t="str">
        <x:v>Canonical IDs, normalized phone/email, idempotency key, pre-write lookup, conflict rules and reconciliation.</x:v>
      </x:c>
      <x:c r="D8" s="469" t="str"/>
      <x:c r="E8" s="469" t="str"/>
      <x:c r="F8" s="552" t="n">
        <x:v>1</x:v>
      </x:c>
    </x:row>
    <x:row r="9" ht="64" customHeight="1">
      <x:c r="A9" s="549" t="n">
        <x:v>5</x:v>
      </x:c>
      <x:c r="B9" s="550" t="str">
        <x:v>What happens when GoHighLevel or an API is unavailable?</x:v>
      </x:c>
      <x:c r="C9" s="551" t="str">
        <x:v>Timeout, bounded retry/backoff, queue, safe caller message, human fallback, alert, replay and incident review.</x:v>
      </x:c>
      <x:c r="D9" s="469" t="str"/>
      <x:c r="E9" s="469" t="str"/>
      <x:c r="F9" s="552" t="n">
        <x:v>1</x:v>
      </x:c>
    </x:row>
    <x:row r="10" ht="64" customHeight="1">
      <x:c r="A10" s="549" t="n">
        <x:v>6</x:v>
      </x:c>
      <x:c r="B10" s="550" t="str">
        <x:v>How do you test a voice agent before launch?</x:v>
      </x:c>
      <x:c r="C10" s="551" t="str">
        <x:v>Scenario matrix, tool-call tests, noisy audio/accents/interruptions, policy cases, outages, regression set and launch thresholds.</x:v>
      </x:c>
      <x:c r="D10" s="469" t="str"/>
      <x:c r="E10" s="469" t="str"/>
      <x:c r="F10" s="552" t="n">
        <x:v>1</x:v>
      </x:c>
    </x:row>
    <x:row r="11" ht="64" customHeight="1">
      <x:c r="A11" s="549" t="n">
        <x:v>7</x:v>
      </x:c>
      <x:c r="B11" s="550" t="str">
        <x:v>How would you improve appointment show rate?</x:v>
      </x:c>
      <x:c r="C11" s="551" t="str">
        <x:v>Confirmation, reminders, easy reschedule, no-show workflow, channel preference, frequency limits and cohort measurement.</x:v>
      </x:c>
      <x:c r="D11" s="469" t="str"/>
      <x:c r="E11" s="469" t="str"/>
      <x:c r="F11" s="552" t="n">
        <x:v>1</x:v>
      </x:c>
    </x:row>
    <x:row r="12" ht="64" customHeight="1">
      <x:c r="A12" s="549" t="n">
        <x:v>8</x:v>
      </x:c>
      <x:c r="B12" s="550" t="str">
        <x:v>How do you handle STOP or Do Not Call requests?</x:v>
      </x:c>
      <x:c r="C12" s="551" t="str">
        <x:v>Immediate recognition, central suppression, cross-channel update, confirmation, audit evidence and no re-entry without valid permission.</x:v>
      </x:c>
      <x:c r="D12" s="469" t="str"/>
      <x:c r="E12" s="469" t="str"/>
      <x:c r="F12" s="552" t="n">
        <x:v>1</x:v>
      </x:c>
    </x:row>
    <x:row r="13" ht="64" customHeight="1">
      <x:c r="A13" s="549" t="n">
        <x:v>9</x:v>
      </x:c>
      <x:c r="B13" s="550" t="str">
        <x:v>How do you choose between HighLevel Voice AI, Vapi, Retell and ElevenLabs?</x:v>
      </x:c>
      <x:c r="C13" s="551" t="str">
        <x:v>Business needs, integration depth, latency, transfer/telephony, testing, compliance/vendor posture, support, cost and maintainability.</x:v>
      </x:c>
      <x:c r="D13" s="469" t="str"/>
      <x:c r="E13" s="469" t="str"/>
      <x:c r="F13" s="552" t="n">
        <x:v>1</x:v>
      </x:c>
    </x:row>
    <x:row r="14" ht="64" customHeight="1">
      <x:c r="A14" s="549" t="n">
        <x:v>10</x:v>
      </x:c>
      <x:c r="B14" s="550" t="str">
        <x:v>How do you calculate ROI?</x:v>
      </x:c>
      <x:c r="C14" s="551" t="str">
        <x:v>Baseline volume/cost, automation containment/conversion, platform/usage/support costs, error risk and measured value per completed outcome.</x:v>
      </x:c>
      <x:c r="D14" s="469" t="str"/>
      <x:c r="E14" s="469" t="str"/>
      <x:c r="F14" s="552" t="n">
        <x:v>1</x:v>
      </x:c>
    </x:row>
    <x:row r="15" ht="64" customHeight="1">
      <x:c r="A15" s="549" t="n">
        <x:v>11</x:v>
      </x:c>
      <x:c r="B15" s="550" t="str">
        <x:v>How do you protect sensitive data?</x:v>
      </x:c>
      <x:c r="C15" s="551" t="str">
        <x:v>Minimum necessary data, role access, secrets, encryption, vendor review/BAA where applicable, retention, logging and incident response.</x:v>
      </x:c>
      <x:c r="D15" s="469" t="str"/>
      <x:c r="E15" s="469" t="str"/>
      <x:c r="F15" s="552" t="n">
        <x:v>1</x:v>
      </x:c>
    </x:row>
    <x:row r="16" ht="64" customHeight="1">
      <x:c r="A16" s="549" t="n">
        <x:v>12</x:v>
      </x:c>
      <x:c r="B16" s="550" t="str">
        <x:v>How do you keep knowledge accurate?</x:v>
      </x:c>
      <x:c r="C16" s="551" t="str">
        <x:v>Approved sources, ownership, versioning/freshness, retrieval tests, citations, uncertainty response and scheduled review.</x:v>
      </x:c>
      <x:c r="D16" s="469" t="str"/>
      <x:c r="E16" s="469" t="str"/>
      <x:c r="F16" s="552" t="n">
        <x:v>1</x:v>
      </x:c>
    </x:row>
    <x:row r="17" ht="64" customHeight="1">
      <x:c r="A17" s="549" t="n">
        <x:v>13</x:v>
      </x:c>
      <x:c r="B17" s="550" t="str">
        <x:v>What makes an automation production-ready?</x:v>
      </x:c>
      <x:c r="C17" s="551" t="str">
        <x:v>Clear owner, monitoring, errors/retries, duplicate protection, permissions, tests, rollback, runbook, KPI and change control.</x:v>
      </x:c>
      <x:c r="D17" s="469" t="str"/>
      <x:c r="E17" s="469" t="str"/>
      <x:c r="F17" s="552" t="n">
        <x:v>1</x:v>
      </x:c>
    </x:row>
    <x:row r="18" ht="64" customHeight="1">
      <x:c r="A18" s="549" t="n">
        <x:v>14</x:v>
      </x:c>
      <x:c r="B18" s="550" t="str">
        <x:v>Tell me about your biggest automation success.</x:v>
      </x:c>
      <x:c r="C18" s="551" t="str">
        <x:v>Use a real or clearly labeled demo: problem, baseline, design, complexity, measured result, failures, lesson and next iteration.</x:v>
      </x:c>
      <x:c r="D18" s="469" t="str"/>
      <x:c r="E18" s="469" t="str"/>
      <x:c r="F18" s="552" t="n">
        <x:v>1</x:v>
      </x:c>
    </x:row>
    <x:row r="19" ht="64" customHeight="1">
      <x:c r="A19" s="553" t="n">
        <x:v>15</x:v>
      </x:c>
      <x:c r="B19" s="554" t="str">
        <x:v>What would you automate in your first 30 days here?</x:v>
      </x:c>
      <x:c r="C19" s="555" t="str">
        <x:v>Discovery and baseline first; prioritize high-volume low-risk workflows; pilot inbound/missed-call follow-up; measure; expand with approvals.</x:v>
      </x:c>
      <x:c r="D19" s="509" t="str"/>
      <x:c r="E19" s="509" t="str"/>
      <x:c r="F19" s="556" t="n">
        <x:v>1</x:v>
      </x:c>
    </x:row>
  </x:sheetData>
  <x:mergeCells>
    <x:mergeCell ref="A1:F1"/>
    <x:mergeCell ref="A2:F2"/>
  </x:mergeCells>
  <x:conditionalFormatting sqref="F5:F19">
    <x:cfRule type="colorScale" priority="1">
      <x:colorScale>
        <x:cfvo type="min"/>
        <x:cfvo type="percentile" val="50"/>
        <x:cfvo type="max"/>
        <x:color rgb="FFFCEDEA"/>
        <x:color rgb="FFFFF7E1"/>
        <x:color rgb="FFEAF6EE"/>
      </x:colorScale>
    </x:cfRule>
  </x:conditionalFormatting>
  <x:dataValidations count="1">
    <x:dataValidation type="whole" operator="between" sqref="F5:F19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0730b061ad141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8" hidden="0" customWidth="1"/>
    <x:col min="4" max="4" width="15" hidden="0" customWidth="1"/>
    <x:col min="5" max="5" width="68" hidden="0" customWidth="1"/>
  </x:cols>
  <x:sheetData>
    <x:row r="1" ht="42" customHeight="1">
      <x:c r="A1" s="4" t="str">
        <x:v>Official Learning Resources</x:v>
      </x:c>
      <x:c r="B1" s="4" t="str">
        <x:v>Official Learning Resources</x:v>
      </x:c>
      <x:c r="C1" s="4" t="str">
        <x:v>Official Learning Resources</x:v>
      </x:c>
      <x:c r="D1" s="4" t="str">
        <x:v>Official Learning Resources</x:v>
      </x:c>
      <x:c r="E1" s="4" t="str">
        <x:v>Official Learning Resources</x:v>
      </x:c>
    </x:row>
    <x:row r="2" ht="32" customHeight="1">
      <x:c r="A2" s="139" t="str">
        <x:v>Start with official documentation. Product features and legal requirements change; verify current instructions before production use.</x:v>
      </x:c>
      <x:c r="B2" s="139" t="str">
        <x:v>Start with official documentation. Product features and legal requirements change; verify current instructions before production use.</x:v>
      </x:c>
      <x:c r="C2" s="139" t="str">
        <x:v>Start with official documentation. Product features and legal requirements change; verify current instructions before production use.</x:v>
      </x:c>
      <x:c r="D2" s="139" t="str">
        <x:v>Start with official documentation. Product features and legal requirements change; verify current instructions before production use.</x:v>
      </x:c>
      <x:c r="E2" s="139" t="str">
        <x:v>Start with official documentation. Product features and legal requirements change; verify current instructions before production use.</x:v>
      </x:c>
    </x:row>
    <x:row r="3">
      <x:c r="A3" s="140"/>
      <x:c r="B3" s="140"/>
      <x:c r="C3" s="140"/>
      <x:c r="D3" s="140"/>
      <x:c r="E3" s="140"/>
    </x:row>
    <x:row r="4" ht="34" customHeight="1">
      <x:c r="A4" s="451" t="str">
        <x:v>Topic</x:v>
      </x:c>
      <x:c r="B4" s="452" t="str">
        <x:v>Resource</x:v>
      </x:c>
      <x:c r="C4" s="452" t="str">
        <x:v>Why It Matters</x:v>
      </x:c>
      <x:c r="D4" s="452" t="str">
        <x:v>Use On Day</x:v>
      </x:c>
      <x:c r="E4" s="453" t="str">
        <x:v>URL</x:v>
      </x:c>
    </x:row>
    <x:row r="5" ht="48" customHeight="1">
      <x:c r="A5" s="546" t="str">
        <x:v>OpenAI</x:v>
      </x:c>
      <x:c r="B5" s="525" t="str">
        <x:v>Realtime API</x:v>
      </x:c>
      <x:c r="C5" s="525" t="str">
        <x:v>Low-latency voice, SIP/WebRTC and tool calling.</x:v>
      </x:c>
      <x:c r="D5" s="527" t="str">
        <x:v>9, 16–20</x:v>
      </x:c>
      <x:c r="E5" s="540" t="str">
        <x:v>https://platform.openai.com/docs/api-reference/realtime</x:v>
      </x:c>
    </x:row>
    <x:row r="6" ht="48" customHeight="1">
      <x:c r="A6" s="550" t="str">
        <x:v>OpenAI</x:v>
      </x:c>
      <x:c r="B6" s="465" t="str">
        <x:v>API platform documentation</x:v>
      </x:c>
      <x:c r="C6" s="465" t="str">
        <x:v>Authentication, Responses API, tools and production patterns.</x:v>
      </x:c>
      <x:c r="D6" s="532" t="str">
        <x:v>8–12</x:v>
      </x:c>
      <x:c r="E6" s="542" t="str">
        <x:v>https://platform.openai.com/docs/</x:v>
      </x:c>
    </x:row>
    <x:row r="7" ht="48" customHeight="1">
      <x:c r="A7" s="550" t="str">
        <x:v>GoHighLevel</x:v>
      </x:c>
      <x:c r="B7" s="465" t="str">
        <x:v>Voice AI overview</x:v>
      </x:c>
      <x:c r="C7" s="465" t="str">
        <x:v>Inbound/outbound calls, booking, knowledge and workflows.</x:v>
      </x:c>
      <x:c r="D7" s="532" t="str">
        <x:v>4–7, 16–22</x:v>
      </x:c>
      <x:c r="E7" s="542" t="str">
        <x:v>https://help.gohighlevel.com/support/solutions/articles/155000003911-overview-of-voice-ai-agents</x:v>
      </x:c>
    </x:row>
    <x:row r="8" ht="48" customHeight="1">
      <x:c r="A8" s="550" t="str">
        <x:v>GoHighLevel</x:v>
      </x:c>
      <x:c r="B8" s="465" t="str">
        <x:v>Voice AI appointment booking</x:v>
      </x:c>
      <x:c r="C8" s="465" t="str">
        <x:v>Calendar setup and live booking behavior.</x:v>
      </x:c>
      <x:c r="D8" s="532" t="str">
        <x:v>6, 18</x:v>
      </x:c>
      <x:c r="E8" s="542" t="str">
        <x:v>https://help.gohighlevel.com/support/solutions/articles/155000005293-appointment-booking-for-voice-ai-agents-in-highlevel</x:v>
      </x:c>
    </x:row>
    <x:row r="9" ht="48" customHeight="1">
      <x:c r="A9" s="550" t="str">
        <x:v>GoHighLevel</x:v>
      </x:c>
      <x:c r="B9" s="465" t="str">
        <x:v>Create Voice AI agents</x:v>
      </x:c>
      <x:c r="C9" s="465" t="str">
        <x:v>Agent configuration, transfers, workflows, SMS and contact updates.</x:v>
      </x:c>
      <x:c r="D9" s="532" t="str">
        <x:v>16–20</x:v>
      </x:c>
      <x:c r="E9" s="542" t="str">
        <x:v>https://help.gohighlevel.com/support/solutions/articles/155000004107-creating-voice-ai-agents</x:v>
      </x:c>
    </x:row>
    <x:row r="10" ht="48" customHeight="1">
      <x:c r="A10" s="550" t="str">
        <x:v>Vapi</x:v>
      </x:c>
      <x:c r="B10" s="465" t="str">
        <x:v>Tools</x:v>
      </x:c>
      <x:c r="C10" s="465" t="str">
        <x:v>Call control, transfer and webhook/business-system tools.</x:v>
      </x:c>
      <x:c r="D10" s="532" t="str">
        <x:v>16–20</x:v>
      </x:c>
      <x:c r="E10" s="542" t="str">
        <x:v>https://docs.vapi.ai/tools/</x:v>
      </x:c>
    </x:row>
    <x:row r="11" ht="48" customHeight="1">
      <x:c r="A11" s="550" t="str">
        <x:v>Retell AI</x:v>
      </x:c>
      <x:c r="B11" s="465" t="str">
        <x:v>Documentation</x:v>
      </x:c>
      <x:c r="C11" s="465" t="str">
        <x:v>Voice-agent setup, tools, telephony and testing.</x:v>
      </x:c>
      <x:c r="D11" s="532" t="str">
        <x:v>16–20</x:v>
      </x:c>
      <x:c r="E11" s="542" t="str">
        <x:v>https://docs.retellai.com/</x:v>
      </x:c>
    </x:row>
    <x:row r="12" ht="48" customHeight="1">
      <x:c r="A12" s="550" t="str">
        <x:v>ElevenLabs</x:v>
      </x:c>
      <x:c r="B12" s="465" t="str">
        <x:v>Human transfer</x:v>
      </x:c>
      <x:c r="C12" s="465" t="str">
        <x:v>Transfer rules, warm/blind transfer and fallback behavior.</x:v>
      </x:c>
      <x:c r="D12" s="532" t="str">
        <x:v>19</x:v>
      </x:c>
      <x:c r="E12" s="542" t="str">
        <x:v>https://elevenlabs.io/docs/eleven-agents/customization/tools/system-tools/transfer-to-number</x:v>
      </x:c>
    </x:row>
    <x:row r="13" ht="48" customHeight="1">
      <x:c r="A13" s="550" t="str">
        <x:v>ElevenLabs</x:v>
      </x:c>
      <x:c r="B13" s="465" t="str">
        <x:v>Agent testing</x:v>
      </x:c>
      <x:c r="C13" s="465" t="str">
        <x:v>Tool-call and multi-turn simulation testing.</x:v>
      </x:c>
      <x:c r="D13" s="532" t="str">
        <x:v>20, 28</x:v>
      </x:c>
      <x:c r="E13" s="542" t="str">
        <x:v>https://elevenlabs.io/docs/eleven-agents/customization/agent-testing</x:v>
      </x:c>
    </x:row>
    <x:row r="14" ht="48" customHeight="1">
      <x:c r="A14" s="550" t="str">
        <x:v>n8n</x:v>
      </x:c>
      <x:c r="B14" s="465" t="str">
        <x:v>Documentation</x:v>
      </x:c>
      <x:c r="C14" s="465" t="str">
        <x:v>Workflow nodes, integrations, credentials and reliability.</x:v>
      </x:c>
      <x:c r="D14" s="532" t="str">
        <x:v>3, 7, 13–15</x:v>
      </x:c>
      <x:c r="E14" s="542" t="str">
        <x:v>https://docs.n8n.io/</x:v>
      </x:c>
    </x:row>
    <x:row r="15" ht="48" customHeight="1">
      <x:c r="A15" s="550" t="str">
        <x:v>Make</x:v>
      </x:c>
      <x:c r="B15" s="465" t="str">
        <x:v>Error handling</x:v>
      </x:c>
      <x:c r="C15" s="465" t="str">
        <x:v>Retries, incomplete executions and error routes.</x:v>
      </x:c>
      <x:c r="D15" s="532" t="str">
        <x:v>14</x:v>
      </x:c>
      <x:c r="E15" s="542" t="str">
        <x:v>https://help.make.com/overview-of-error-handling</x:v>
      </x:c>
    </x:row>
    <x:row r="16" ht="48" customHeight="1">
      <x:c r="A16" s="550" t="str">
        <x:v>CMS</x:v>
      </x:c>
      <x:c r="B16" s="465" t="str">
        <x:v>Medicare marketing guidelines</x:v>
      </x:c>
      <x:c r="C16" s="465" t="str">
        <x:v>Official Medicare communications and marketing materials.</x:v>
      </x:c>
      <x:c r="D16" s="532" t="str">
        <x:v>26</x:v>
      </x:c>
      <x:c r="E16" s="542" t="str">
        <x:v>https://www.cms.gov/medicare/health-drug-plans/managed-care-marketing/medicare-guidelines</x:v>
      </x:c>
    </x:row>
    <x:row r="17" ht="48" customHeight="1">
      <x:c r="A17" s="550" t="str">
        <x:v>CMS</x:v>
      </x:c>
      <x:c r="B17" s="465" t="str">
        <x:v>2026 agent/broker training guidelines</x:v>
      </x:c>
      <x:c r="C17" s="465" t="str">
        <x:v>TPMO oversight and full-call recording reminder for relevant calls.</x:v>
      </x:c>
      <x:c r="D17" s="532" t="str">
        <x:v>26</x:v>
      </x:c>
      <x:c r="E17" s="542" t="str">
        <x:v>https://www.cms.gov/files/document/cy2026agentbrokertrainingtestingguidelinespdf.pdf</x:v>
      </x:c>
    </x:row>
    <x:row r="18" ht="48" customHeight="1">
      <x:c r="A18" s="550" t="str">
        <x:v>FCC</x:v>
      </x:c>
      <x:c r="B18" s="465" t="str">
        <x:v>AI-generated voice TCPA ruling</x:v>
      </x:c>
      <x:c r="C18" s="465" t="str">
        <x:v>AI-generated voices are treated as artificial/prerecorded voice under TCPA.</x:v>
      </x:c>
      <x:c r="D18" s="532" t="str">
        <x:v>22, 26</x:v>
      </x:c>
      <x:c r="E18" s="542" t="str">
        <x:v>https://docs.fcc.gov/public/attachments/FCC-24-17A1_Rcd.pdf</x:v>
      </x:c>
    </x:row>
    <x:row r="19" ht="48" customHeight="1">
      <x:c r="A19" s="550" t="str">
        <x:v>FTC</x:v>
      </x:c>
      <x:c r="B19" s="465" t="str">
        <x:v>Telemarketing Sales Rule guide</x:v>
      </x:c>
      <x:c r="C19" s="465" t="str">
        <x:v>DNC, calling practices, disclosures and opt-out requirements.</x:v>
      </x:c>
      <x:c r="D19" s="532" t="str">
        <x:v>21–22, 26</x:v>
      </x:c>
      <x:c r="E19" s="542" t="str">
        <x:v>https://www.ftc.gov/business-guidance/resources/complying-telemarketing-sales-rule</x:v>
      </x:c>
    </x:row>
    <x:row r="20" ht="48" customHeight="1">
      <x:c r="A20" s="554" t="str">
        <x:v>HHS</x:v>
      </x:c>
      <x:c r="B20" s="535" t="str">
        <x:v>HIPAA and cloud computing</x:v>
      </x:c>
      <x:c r="C20" s="535" t="str">
        <x:v>Business associates, BAAs, risk analysis and ePHI safeguards.</x:v>
      </x:c>
      <x:c r="D20" s="537" t="str">
        <x:v>25–26</x:v>
      </x:c>
      <x:c r="E20" s="544" t="str">
        <x:v>https://www.hhs.gov/hipaa/for-professionals/special-topics/health-information-technology/cloud-computing/index.html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3ed8c052a484001"/>
  </x:tableParts>
</x:worksheet>
</file>