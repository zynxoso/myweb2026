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30-Day Plan" sheetId="2" r:id="rId6"/>
    <sheet state="visible" name="Portfolio Projects" sheetId="3" r:id="rId7"/>
    <sheet state="visible" name="Skills Tracker" sheetId="4" r:id="rId8"/>
    <sheet state="visible" name="Compliance" sheetId="5" r:id="rId9"/>
    <sheet state="visible" name="Interview Prep" sheetId="6" r:id="rId10"/>
    <sheet state="visible" name="Resources" sheetId="7" r:id="rId11"/>
  </sheets>
  <definedNames/>
  <calcPr/>
</workbook>
</file>

<file path=xl/sharedStrings.xml><?xml version="1.0" encoding="utf-8"?>
<sst xmlns="http://schemas.openxmlformats.org/spreadsheetml/2006/main" count="604" uniqueCount="509">
  <si>
    <t>30-Day AI Automation Advanced Sprint</t>
  </si>
  <si>
    <t>An architecture-and-governance program for durable orchestration, agent platforms, Voice AI at scale, security and executive production readiness.</t>
  </si>
  <si>
    <t>PROGRAM SETUP</t>
  </si>
  <si>
    <t>COMPLETED DAYS</t>
  </si>
  <si>
    <t>OVERALL PROGRESS</t>
  </si>
  <si>
    <t>Recommended pace</t>
  </si>
  <si>
    <t>Start date</t>
  </si>
  <si>
    <t>PLANNED HOURS</t>
  </si>
  <si>
    <t>AVERAGE QUIZ SCORE</t>
  </si>
  <si>
    <t>Target role</t>
  </si>
  <si>
    <t>AI Systems Architect &amp; Automation Lead</t>
  </si>
  <si>
    <t>THE FIVE-BLOCK ROADMAP</t>
  </si>
  <si>
    <t>01  PLATFORM ARCHITECTURE</t>
  </si>
  <si>
    <t>Days 1-7</t>
  </si>
  <si>
    <t>Events, contracts, durable state, resilience and delivery  |  Milestone: platform architecture</t>
  </si>
  <si>
    <t>02  AGENT PLATFORMS</t>
  </si>
  <si>
    <t>Days 8-15</t>
  </si>
  <si>
    <t>Orchestration, model policy, governed RAG, evals and tracing</t>
  </si>
  <si>
    <t>03  VOICE AT SCALE</t>
  </si>
  <si>
    <t>Days 16-20</t>
  </si>
  <si>
    <t>Carrier/SIP resilience, latency, capacity and compliant outbound control</t>
  </si>
  <si>
    <t>04  GOVERNANCE &amp; OPS</t>
  </si>
  <si>
    <t>Days 21-26</t>
  </si>
  <si>
    <t>Enterprise sync, experiments, threat models, incidents and audit evidence</t>
  </si>
  <si>
    <t>05  EXECUTIVE CAPSTONE</t>
  </si>
  <si>
    <t>Days 27-30</t>
  </si>
  <si>
    <t>Reference architecture, production review, executive case and defense</t>
  </si>
  <si>
    <t>DAILY OPERATING RHYTHM  |  3 HOURS</t>
  </si>
  <si>
    <t>LEARN  |  60 MIN</t>
  </si>
  <si>
    <t>BUILD  |  90 MIN</t>
  </si>
  <si>
    <t>TEST  |  30 MIN</t>
  </si>
  <si>
    <t>Study one focused concept. Take concise notes and explain the idea in your own words.</t>
  </si>
  <si>
    <t>Implement the day's workflow with synthetic data. Make the happy path work end to end.</t>
  </si>
  <si>
    <t>Test failures and edge cases, then save evidence before marking the day complete.</t>
  </si>
  <si>
    <t>DEFINITION OF DONE  |  MARK A DAY COMPLETE ONLY WHEN ALL FIVE ARE TRUE</t>
  </si>
  <si>
    <t>1. The daily deliverable exists and can be opened, demonstrated or inspected.</t>
  </si>
  <si>
    <t>2. The main success path works with synthetic test data.</t>
  </si>
  <si>
    <t>3. At least one failure or edge case has been tested and documented.</t>
  </si>
  <si>
    <t>4. Evidence is saved in the Notes / Evidence Link cell for that day.</t>
  </si>
  <si>
    <t>5. You can explain what you built, why it matters and what you would improve next.</t>
  </si>
  <si>
    <t>EDITING GUIDE  |  Yellow cells are your inputs. Blue values calculate automatically. Green means complete; red means blocked or unresolved.</t>
  </si>
  <si>
    <t>30-Day Advanced Learning Plan</t>
  </si>
  <si>
    <t>Assumes production build experience. Daily rhythm: architecture study (45 min) -&gt; implementation/design (105 min) -&gt; evidence and review (30 min).</t>
  </si>
  <si>
    <t>Day</t>
  </si>
  <si>
    <t>Planned Date</t>
  </si>
  <si>
    <t>Phase</t>
  </si>
  <si>
    <t>Main Focus</t>
  </si>
  <si>
    <t>Learning Outcome</t>
  </si>
  <si>
    <t>Study / Learn</t>
  </si>
  <si>
    <t>Hands-On Build</t>
  </si>
  <si>
    <t>Daily Deliverable</t>
  </si>
  <si>
    <t>Primary Tools</t>
  </si>
  <si>
    <t>Hours</t>
  </si>
  <si>
    <t>Status</t>
  </si>
  <si>
    <t>Quiz %</t>
  </si>
  <si>
    <t>Notes / Evidence Link</t>
  </si>
  <si>
    <t>Block 1 | Platform Architecture</t>
  </si>
  <si>
    <t>Enterprise discovery and portfolio strategy</t>
  </si>
  <si>
    <t>Translate company goals, constraints and risk appetite into an automation portfolio.</t>
  </si>
  <si>
    <t>Study capability maps, operating models, value streams, governance and portfolio prioritization.</t>
  </si>
  <si>
    <t>Create a Medicare agency capability map and prioritize systems by value, dependency and regulatory risk.</t>
  </si>
  <si>
    <t>Executive automation portfolio with sequencing rationale.</t>
  </si>
  <si>
    <t>Architecture canvas</t>
  </si>
  <si>
    <t>Not Started</t>
  </si>
  <si>
    <t>Event-driven architecture and queues</t>
  </si>
  <si>
    <t>Design systems that absorb bursts, isolate failures and process events asynchronously.</t>
  </si>
  <si>
    <t>Study producers/consumers, queues, topics, ordering, delivery semantics and backpressure.</t>
  </si>
  <si>
    <t>Design lead, call, appointment and consent events with queue-based processing and retry paths.</t>
  </si>
  <si>
    <t>Event catalog and sequence diagrams.</t>
  </si>
  <si>
    <t>n8n + queue concepts</t>
  </si>
  <si>
    <t>Enterprise data contracts</t>
  </si>
  <si>
    <t>Govern identifiers, schemas and ownership across CRM, telephony, AI and analytics.</t>
  </si>
  <si>
    <t>Study schema evolution, canonical models, lineage, PII classification and contract testing.</t>
  </si>
  <si>
    <t>Define versioned contracts for customer, consent, call, appointment, task and outcome events.</t>
  </si>
  <si>
    <t>Versioned schema pack and ownership matrix.</t>
  </si>
  <si>
    <t>JSON Schema + API specs</t>
  </si>
  <si>
    <t>Durable orchestration and replay</t>
  </si>
  <si>
    <t>Preserve long-running workflow state and recover deterministically after interruptions.</t>
  </si>
  <si>
    <t>Study workflow state, checkpoints, retries, compensation, replay and exactly-once business effects.</t>
  </si>
  <si>
    <t>Design an enrollment-adjacent appointment workflow that can pause, approve, resume and compensate.</t>
  </si>
  <si>
    <t>Durable orchestration design and replay test plan.</t>
  </si>
  <si>
    <t>Workflow engine + n8n</t>
  </si>
  <si>
    <t>API resilience and backpressure</t>
  </si>
  <si>
    <t>Protect downstream systems while meeting business SLAs under failure and load.</t>
  </si>
  <si>
    <t>Study circuit breakers, concurrency limits, bulkheads, rate limits, jitter, timeouts and fallback.</t>
  </si>
  <si>
    <t>Build a load-safe integration path with bounded concurrency, adaptive retry and failure isolation.</t>
  </si>
  <si>
    <t>Resilience test results and capacity assumptions.</t>
  </si>
  <si>
    <t>n8n + API gateway</t>
  </si>
  <si>
    <t>Environment promotion and secrets</t>
  </si>
  <si>
    <t>Move changes from development to production with traceability and rollback.</t>
  </si>
  <si>
    <t>Study environment separation, secret rotation, change approval, CI checks and release artifacts.</t>
  </si>
  <si>
    <t>Create a promotion pipeline for workflows, prompts, schemas, evals and configuration.</t>
  </si>
  <si>
    <t>Release pipeline design and rollback package.</t>
  </si>
  <si>
    <t>Git + CI/CD</t>
  </si>
  <si>
    <t>Architecture review milestone</t>
  </si>
  <si>
    <t>Defend a complete platform design against reliability, security, cost and operational concerns.</t>
  </si>
  <si>
    <t>Review Days 1-6 and write explicit architecture decisions and rejected alternatives.</t>
  </si>
  <si>
    <t>Produce a reference architecture for the agency automation platform and conduct a design review.</t>
  </si>
  <si>
    <t>Portfolio Project 1 architecture, ADRs and review findings.</t>
  </si>
  <si>
    <t>Architecture tools</t>
  </si>
  <si>
    <t>Block 2 | Agent Platforms</t>
  </si>
  <si>
    <t>Agent planning and execution boundaries</t>
  </si>
  <si>
    <t>Separate reasoning, policy, tool execution and deterministic business controls.</t>
  </si>
  <si>
    <t>Study planner/executor patterns, state, permissions, tool isolation and deterministic validators.</t>
  </si>
  <si>
    <t>Design an agent runtime where models propose actions and trusted services validate/execute them.</t>
  </si>
  <si>
    <t>Agent runtime sequence and trust-boundary diagram.</t>
  </si>
  <si>
    <t>OpenAI + service layer</t>
  </si>
  <si>
    <t>Multi-agent routing and delegation</t>
  </si>
  <si>
    <t>Use specialization only where it improves control, evaluation or maintainability.</t>
  </si>
  <si>
    <t>Study routing, delegation, shared context, handoff contracts and termination conditions.</t>
  </si>
  <si>
    <t>Build a dispatcher for receptionist, service, scheduling and compliance-review agents.</t>
  </si>
  <si>
    <t>Routing policy and cross-agent test suite.</t>
  </si>
  <si>
    <t>Agents SDK / Vapi squads</t>
  </si>
  <si>
    <t>Model routing, fallback and cost</t>
  </si>
  <si>
    <t>Match models to tasks while preserving quality during outages or performance changes.</t>
  </si>
  <si>
    <t>Study capability tiers, latency, reasoning effort, fallback chains, caching and cost budgets.</t>
  </si>
  <si>
    <t>Create a policy for classification, retrieval, summarization, complex reasoning and voice tasks.</t>
  </si>
  <si>
    <t>Model-routing matrix with quality/cost tests.</t>
  </si>
  <si>
    <t>OpenAI + gateway</t>
  </si>
  <si>
    <t>Permission-aware RAG</t>
  </si>
  <si>
    <t>Enforce document access, freshness and provenance during retrieval and generation.</t>
  </si>
  <si>
    <t>Study ACL filtering, tenant boundaries, hybrid retrieval, reranking, lineage and deletion propagation.</t>
  </si>
  <si>
    <t>Design and test a knowledge service that filters sources by role, purpose and effective date.</t>
  </si>
  <si>
    <t>Permission tests and retrieval quality report.</t>
  </si>
  <si>
    <t>Vector DB + OpenAI</t>
  </si>
  <si>
    <t>Evaluation and red-team milestone</t>
  </si>
  <si>
    <t>Create release gates that measure task success, policy compliance and tool behavior.</t>
  </si>
  <si>
    <t>Study golden datasets, trajectory evaluation, LLM judges, adversarial testing and statistical confidence.</t>
  </si>
  <si>
    <t>Build 100 cases across service, scheduling, privacy, prompt injection and tool misuse.</t>
  </si>
  <si>
    <t>Portfolio Project 2 eval suite and release thresholds.</t>
  </si>
  <si>
    <t>OpenAI Evals</t>
  </si>
  <si>
    <t>Tracing and agent observability</t>
  </si>
  <si>
    <t>Trace a business outcome across prompts, retrieval, tools, workflows and downstream records.</t>
  </si>
  <si>
    <t>Study trace IDs, spans, tool telemetry, token/latency budgets and privacy-safe logging.</t>
  </si>
  <si>
    <t>Instrument an agent request from entry to CRM write and build an incident-friendly trace view.</t>
  </si>
  <si>
    <t>Trace map, dashboard and sample incident investigation.</t>
  </si>
  <si>
    <t>Tracing + logs</t>
  </si>
  <si>
    <t>Human governance and approvals</t>
  </si>
  <si>
    <t>Create enforceable decision rights for high-impact AI actions.</t>
  </si>
  <si>
    <t>Study risk tiers, approval policy, segregation of duties, overrides and review evidence.</t>
  </si>
  <si>
    <t>Define governance for outbound contact, sensitive data, record changes and licensed activities.</t>
  </si>
  <si>
    <t>Approval policy, RACI and evidence requirements.</t>
  </si>
  <si>
    <t>Workflow + governance</t>
  </si>
  <si>
    <t>Agent platform release gate</t>
  </si>
  <si>
    <t>Combine orchestration, model policy, retrieval, evals and governance into one controlled platform.</t>
  </si>
  <si>
    <t>Review failure modes and define go/no-go thresholds by risk tier.</t>
  </si>
  <si>
    <t>Run the full regression suite against a candidate platform release and document the decision.</t>
  </si>
  <si>
    <t>Release report, rollback plan and prioritized defects.</t>
  </si>
  <si>
    <t>Full agent stack</t>
  </si>
  <si>
    <t>Block 3 | Voice at Scale</t>
  </si>
  <si>
    <t>Carrier and SIP architecture</t>
  </si>
  <si>
    <t>Design resilient connectivity across numbers, carriers, SIP trunks, regions and AI platforms.</t>
  </si>
  <si>
    <t>Study PSTN/SIP routing, TLS/SRTP, CPS, caller identity, recordings and disaster-recovery URLs.</t>
  </si>
  <si>
    <t>Create primary/secondary voice paths with secure trunking and regional failover.</t>
  </si>
  <si>
    <t>Voice reference architecture and carrier assumptions.</t>
  </si>
  <si>
    <t>Twilio SIP + Voice AI</t>
  </si>
  <si>
    <t>Latency and quality engineering</t>
  </si>
  <si>
    <t>Optimize end-to-end voice quality using measurable budgets and controlled tradeoffs.</t>
  </si>
  <si>
    <t>Study network, STT, model, tool and TTS latency; codec quality; VAD; barge-in and timeouts.</t>
  </si>
  <si>
    <t>Instrument 30 calls and reduce the largest latency contributors without harming task success.</t>
  </si>
  <si>
    <t>Latency budget, before/after results and quality notes.</t>
  </si>
  <si>
    <t>Voice AI + tracing</t>
  </si>
  <si>
    <t>Concurrency and capacity planning</t>
  </si>
  <si>
    <t>Estimate and test peak capacity, queue behavior, limits and downstream pressure.</t>
  </si>
  <si>
    <t>Study concurrent calls, calls per second, rate limits, staffing transfer capacity and overload behavior.</t>
  </si>
  <si>
    <t>Create a capacity model and load test voice tools, CRM writes and transfer destinations.</t>
  </si>
  <si>
    <t>Capacity plan, bottlenecks and scaling actions.</t>
  </si>
  <si>
    <t>Twilio + load tests</t>
  </si>
  <si>
    <t>Compliant outbound orchestration</t>
  </si>
  <si>
    <t>Separate eligibility, consent, calling policy and conversation execution into auditable controls.</t>
  </si>
  <si>
    <t>Study campaign eligibility, seller-specific consent, quiet hours, suppression and real-time revocation.</t>
  </si>
  <si>
    <t>Design an outbound controller that issues calls only after independent policy validation.</t>
  </si>
  <si>
    <t>Eligibility service design and negative test suite.</t>
  </si>
  <si>
    <t>Voice AI + policy service</t>
  </si>
  <si>
    <t>Voice-at-scale milestone</t>
  </si>
  <si>
    <t>Prove quality, safety and recovery across volume, carrier and business scenarios.</t>
  </si>
  <si>
    <t>Set thresholds for task success, latency, tool accuracy, transfer, compliance and failover.</t>
  </si>
  <si>
    <t>Run at least 100 simulated calls plus controlled concurrency and failover tests.</t>
  </si>
  <si>
    <t>Portfolio Project 3 scorecard and production recommendation.</t>
  </si>
  <si>
    <t>Vapi/Retell + Twilio</t>
  </si>
  <si>
    <t>Block 4 | Governance &amp; Operations</t>
  </si>
  <si>
    <t>Enterprise CRM synchronization</t>
  </si>
  <si>
    <t>Resolve conflicting updates across CRM, calendar, telephony, service and analytics systems.</t>
  </si>
  <si>
    <t>Study event ownership, conflict rules, reconciliation, CDC and correction workflows.</t>
  </si>
  <si>
    <t>Design bidirectional sync with authoritative fields, conflict queues and daily reconciliation.</t>
  </si>
  <si>
    <t>Sync contract, reconciliation report and exception process.</t>
  </si>
  <si>
    <t>GHL + integration layer</t>
  </si>
  <si>
    <t>Lifecycle orchestration at scale</t>
  </si>
  <si>
    <t>Operate multichannel journeys as explicit state machines with controlled re-entry.</t>
  </si>
  <si>
    <t>Study state transitions, event-time processing, suppression, segmentation and policy inheritance.</t>
  </si>
  <si>
    <t>Design lifecycle orchestration for acquisition, appointment, service and reactivation.</t>
  </si>
  <si>
    <t>State machine, transition tests and ownership map.</t>
  </si>
  <si>
    <t>Workflow platform</t>
  </si>
  <si>
    <t>Experimentation and attribution</t>
  </si>
  <si>
    <t>Measure which automation changes cause better customer and revenue outcomes.</t>
  </si>
  <si>
    <t>Study experiment design, guardrail metrics, holdouts, attribution and statistical uncertainty.</t>
  </si>
  <si>
    <t>Create an experiment for appointment-show improvement with outcome and safety metrics.</t>
  </si>
  <si>
    <t>Experiment specification and analysis template.</t>
  </si>
  <si>
    <t>Analytics + CRM</t>
  </si>
  <si>
    <t>Threat modeling and data governance</t>
  </si>
  <si>
    <t>Identify threats across prompts, tools, integrations, vendors, logs and staff access.</t>
  </si>
  <si>
    <t>Study trust boundaries, STRIDE-style threats, data classification, retention and key management.</t>
  </si>
  <si>
    <t>Threat-model the full automation platform and assign mitigations, owners and verification tests.</t>
  </si>
  <si>
    <t>Threat model and prioritized remediation plan.</t>
  </si>
  <si>
    <t>Security architecture</t>
  </si>
  <si>
    <t>Incident response and disaster recovery</t>
  </si>
  <si>
    <t>Restore service safely and preserve evidence when AI, telephony or integrations fail.</t>
  </si>
  <si>
    <t>Study incident severity, detection, containment, replay, communications, RTO/RPO and postmortems.</t>
  </si>
  <si>
    <t>Run tabletop incidents for bad model behavior, data exposure, CRM outage and carrier failure.</t>
  </si>
  <si>
    <t>Incident runbooks, DR test and postmortem template.</t>
  </si>
  <si>
    <t>Operations stack</t>
  </si>
  <si>
    <t>Medicare control evidence</t>
  </si>
  <si>
    <t>Make CMS, TCPA, HIPAA and internal controls independently reviewable.</t>
  </si>
  <si>
    <t>Map official requirements to preventive/detective controls, evidence, retention and accountable owners.</t>
  </si>
  <si>
    <t>Build a control library for consent, DNC, recording, licensing, data access and incident response.</t>
  </si>
  <si>
    <t>Audit-ready control matrix and evidence samples.</t>
  </si>
  <si>
    <t>Governance + official guidance</t>
  </si>
  <si>
    <t>Block 5 | Executive Capstone</t>
  </si>
  <si>
    <t>Enterprise capstone assembly</t>
  </si>
  <si>
    <t>Integrate platform, agent, voice, data, security and operating architecture.</t>
  </si>
  <si>
    <t>Review every service boundary, dependency, SLO, owner, control and cost driver.</t>
  </si>
  <si>
    <t>Assemble the Medicare agency automation reference architecture and implementation roadmap.</t>
  </si>
  <si>
    <t>Advanced capstone v1, architecture pack and roadmap.</t>
  </si>
  <si>
    <t>Full stack</t>
  </si>
  <si>
    <t>SLO and production-readiness review</t>
  </si>
  <si>
    <t>Make a defensible go/no-go decision across engineering, operations, security and compliance.</t>
  </si>
  <si>
    <t>Study SLOs, error budgets, capacity, support readiness, control evidence and rollback criteria.</t>
  </si>
  <si>
    <t>Conduct a formal review with 100+ tests and documented exceptions.</t>
  </si>
  <si>
    <t>Production-readiness report and signed decision log.</t>
  </si>
  <si>
    <t>Executive architecture case study</t>
  </si>
  <si>
    <t>Communicate the platform in business, risk, financial and technical language.</t>
  </si>
  <si>
    <t>Study executive narratives, architecture views, cost models and staged investment decisions.</t>
  </si>
  <si>
    <t>Create an executive brief, technical deep dive, runbook summary and 10-minute demo.</t>
  </si>
  <si>
    <t>Portfolio Project 4 executive and technical package.</t>
  </si>
  <si>
    <t>Docs + presentation</t>
  </si>
  <si>
    <t>Architecture defense</t>
  </si>
  <si>
    <t>Defend the design against CTO, operations, compliance and finance questions.</t>
  </si>
  <si>
    <t>Review tradeoffs, rejected options, residual risk, cost, staffing and success measures.</t>
  </si>
  <si>
    <t>Run a 75-minute architecture board simulation and revise unsupported decisions.</t>
  </si>
  <si>
    <t>Final architect readiness score and 90-day growth plan.</t>
  </si>
  <si>
    <t>Review board + workbook</t>
  </si>
  <si>
    <t>Portfolio Projects</t>
  </si>
  <si>
    <t>Use synthetic data. A portfolio project is complete only when it has a demo, architecture, tests, failure handling and a clear business result.</t>
  </si>
  <si>
    <t>Project</t>
  </si>
  <si>
    <t>Business Problem</t>
  </si>
  <si>
    <t>Core Workflow</t>
  </si>
  <si>
    <t>Required Controls</t>
  </si>
  <si>
    <t>Proof / Deliverables</t>
  </si>
  <si>
    <t>Success Metrics</t>
  </si>
  <si>
    <t>Target Day</t>
  </si>
  <si>
    <t>1. Event-Driven Automation Platform</t>
  </si>
  <si>
    <t>Growth is constrained by synchronous, tightly coupled automations.</t>
  </si>
  <si>
    <t>Domain events -&gt; queues -&gt; durable workflows -&gt; services -&gt; reconciliation and analytics.</t>
  </si>
  <si>
    <t>Versioned contracts, backpressure, replay, compensation, isolation and environment promotion.</t>
  </si>
  <si>
    <t>Reference architecture, ADRs, schemas, load tests and review report.</t>
  </si>
  <si>
    <t>Peak load absorbed; replay is safe; dependencies and failure domains are explicit.</t>
  </si>
  <si>
    <t>2. Governed Agent Platform</t>
  </si>
  <si>
    <t>Teams deploy agents without consistent permissions, evaluation or release controls.</t>
  </si>
  <si>
    <t>Request -&gt; router -&gt; model/retrieval/tools -&gt; validators/approvals -&gt; trace/evaluation.</t>
  </si>
  <si>
    <t>Risk tiers, model policy, permission-aware RAG, red team, release gates and rollback.</t>
  </si>
  <si>
    <t>100-case eval, trace view, governance pack and platform demo.</t>
  </si>
  <si>
    <t>Release thresholds met; high-risk actions are independently controlled and evidenced.</t>
  </si>
  <si>
    <t>3. Voice AI at Scale</t>
  </si>
  <si>
    <t>Single-agent voice systems lack capacity, carrier resilience and measurable quality.</t>
  </si>
  <si>
    <t>Carrier/SIP -&gt; routing -&gt; voice agents -&gt; tools -&gt; transfer pools -&gt; monitoring/failover.</t>
  </si>
  <si>
    <t>CPS/concurrency limits, secure trunking, latency SLOs, suppression and disaster recovery.</t>
  </si>
  <si>
    <t>100-call simulation, concurrency test, failover test and capacity plan.</t>
  </si>
  <si>
    <t>SLOs met under target load; failover works; compliance-negative tests block calls.</t>
  </si>
  <si>
    <t>4. Medicare Automation Reference Architecture</t>
  </si>
  <si>
    <t>Automation investments lack a unified business, technical and control architecture.</t>
  </si>
  <si>
    <t>Channels -&gt; policy/identity -&gt; agent/workflow platform -&gt; CRM/data -&gt; analytics/governance.</t>
  </si>
  <si>
    <t>SLOs, control evidence, threat model, incident response, cost model and operating ownership.</t>
  </si>
  <si>
    <t>Executive brief, technical pack, roadmap, PRR and 10-minute demo.</t>
  </si>
  <si>
    <t>Architecture passes technical, operational, security and compliance review.</t>
  </si>
  <si>
    <t>Skills Readiness Tracker</t>
  </si>
  <si>
    <t>Score yourself honestly from 1–5. A target-level score requires evidence: a working build, test result, architecture explanation or documented operating procedure.</t>
  </si>
  <si>
    <t>Category</t>
  </si>
  <si>
    <t>Skill</t>
  </si>
  <si>
    <t>Target Level</t>
  </si>
  <si>
    <t>Current Level</t>
  </si>
  <si>
    <t>Gap</t>
  </si>
  <si>
    <t>Evidence Required</t>
  </si>
  <si>
    <t>Best Practice Days</t>
  </si>
  <si>
    <t>Evidence / Link</t>
  </si>
  <si>
    <t>Strategy</t>
  </si>
  <si>
    <t>Enterprise discovery and portfolio design</t>
  </si>
  <si>
    <t>Capability map + sequenced portfolio</t>
  </si>
  <si>
    <t>1</t>
  </si>
  <si>
    <t>Architecture</t>
  </si>
  <si>
    <t>Events, queues and bounded contexts</t>
  </si>
  <si>
    <t>Event catalog + reference architecture</t>
  </si>
  <si>
    <t>2, 7</t>
  </si>
  <si>
    <t>Data</t>
  </si>
  <si>
    <t>Versioned contracts and lineage</t>
  </si>
  <si>
    <t>Schema pack + ownership matrix</t>
  </si>
  <si>
    <t>3</t>
  </si>
  <si>
    <t>Orchestration</t>
  </si>
  <si>
    <t>Durable state, replay and compensation</t>
  </si>
  <si>
    <t>Replay-safe workflow design</t>
  </si>
  <si>
    <t>4</t>
  </si>
  <si>
    <t>Reliability</t>
  </si>
  <si>
    <t>Backpressure, SLOs and failover</t>
  </si>
  <si>
    <t>Load/failover evidence</t>
  </si>
  <si>
    <t>5, 18, 28</t>
  </si>
  <si>
    <t>Delivery</t>
  </si>
  <si>
    <t>CI/CD, environments and secrets</t>
  </si>
  <si>
    <t>Promotion and rollback design</t>
  </si>
  <si>
    <t>6</t>
  </si>
  <si>
    <t>Agents</t>
  </si>
  <si>
    <t>Orchestration and model routing</t>
  </si>
  <si>
    <t>Agent runtime + model policy</t>
  </si>
  <si>
    <t>8-10</t>
  </si>
  <si>
    <t>Knowledge</t>
  </si>
  <si>
    <t>Permission-aware RAG governance</t>
  </si>
  <si>
    <t>ACL retrieval tests</t>
  </si>
  <si>
    <t>11</t>
  </si>
  <si>
    <t>Quality</t>
  </si>
  <si>
    <t>Evals, red teaming and release gates</t>
  </si>
  <si>
    <t>100-case eval and gate</t>
  </si>
  <si>
    <t>12, 15</t>
  </si>
  <si>
    <t>Observability</t>
  </si>
  <si>
    <t>Distributed tracing and incidents</t>
  </si>
  <si>
    <t>Trace view + incident analysis</t>
  </si>
  <si>
    <t>13, 25</t>
  </si>
  <si>
    <t>Voice</t>
  </si>
  <si>
    <t>SIP, capacity and latency engineering</t>
  </si>
  <si>
    <t>100-call scale scorecard</t>
  </si>
  <si>
    <t>16-20</t>
  </si>
  <si>
    <t>Security</t>
  </si>
  <si>
    <t>Threat model + remediation</t>
  </si>
  <si>
    <t>24</t>
  </si>
  <si>
    <t>Governance</t>
  </si>
  <si>
    <t>Audit-ready control library</t>
  </si>
  <si>
    <t>26</t>
  </si>
  <si>
    <t>Leadership</t>
  </si>
  <si>
    <t>Executive narrative and architecture defense</t>
  </si>
  <si>
    <t>Executive pack + review board</t>
  </si>
  <si>
    <t>27-30</t>
  </si>
  <si>
    <t>Medicare &amp; Healthcare Automation Checkpoints</t>
  </si>
  <si>
    <t>Training checklist—not legal advice. Confirm current federal/state requirements, carrier rules and agency counsel before deployment. Use synthetic data during learning.</t>
  </si>
  <si>
    <t>Area</t>
  </si>
  <si>
    <t>Question Before Launch</t>
  </si>
  <si>
    <t>Expected Control</t>
  </si>
  <si>
    <t>Evidence</t>
  </si>
  <si>
    <t>Owner</t>
  </si>
  <si>
    <t>Official Source</t>
  </si>
  <si>
    <t>AI voice / TCPA</t>
  </si>
  <si>
    <t>Is this outbound call using an artificial or prerecorded voice, and is the required consent documented?</t>
  </si>
  <si>
    <t>Eligibility gate before dialing; timestamped consent evidence; caller identification and opt-out path.</t>
  </si>
  <si>
    <t>Consent record + dial decision log</t>
  </si>
  <si>
    <t>Compliance</t>
  </si>
  <si>
    <t>Not Reviewed</t>
  </si>
  <si>
    <t>https://docs.fcc.gov/public/attachments/FCC-24-17A1_Rcd.pdf</t>
  </si>
  <si>
    <t>Do Not Call</t>
  </si>
  <si>
    <t>Are National, state and entity-specific DNC/STOP requests suppressed?</t>
  </si>
  <si>
    <t>Central suppression list checked before contact; immediate STOP/DNC update across channels.</t>
  </si>
  <si>
    <t>Suppression test + audit log</t>
  </si>
  <si>
    <t>https://www.ftc.gov/business-guidance/resources/complying-telemarketing-sales-rule</t>
  </si>
  <si>
    <t>Medicare contact</t>
  </si>
  <si>
    <t>Did the beneficiary initiate contact or provide permission for the specific follow-up?</t>
  </si>
  <si>
    <t>No unsolicited Medicare cold-calling; store source, purpose, seller and permission evidence.</t>
  </si>
  <si>
    <t>Lead provenance + permission record</t>
  </si>
  <si>
    <t>Licensed lead</t>
  </si>
  <si>
    <t>https://www.cms.gov/medicare/health-drug-plans/managed-care-marketing/medicare-guidelines</t>
  </si>
  <si>
    <t>TPMO data sharing</t>
  </si>
  <si>
    <t>If beneficiary data is shared with another TPMO, is one-to-one written consent present?</t>
  </si>
  <si>
    <t>Separate transparent consent per recipient TPMO; block transfer if missing.</t>
  </si>
  <si>
    <t>Consent text, timestamp and recipient</t>
  </si>
  <si>
    <t>https://www.cms.gov/newsroom/fact-sheets/contract-year-2025-medicare-advantage-part-d-final-rule-cms-4205-f</t>
  </si>
  <si>
    <t>Call recording</t>
  </si>
  <si>
    <t>Must this marketing, sales or enrollment call be recorded and retained?</t>
  </si>
  <si>
    <t>Record the complete required call, protect access and follow approved retention policy.</t>
  </si>
  <si>
    <t>Recording ID + retention metadata</t>
  </si>
  <si>
    <t>Compliance/IT</t>
  </si>
  <si>
    <t>https://www.cms.gov/files/document/cy2026agentbrokertrainingtestingguidelinespdf.pdf</t>
  </si>
  <si>
    <t>Licensed activity</t>
  </si>
  <si>
    <t>Could the AI be interpreting benefits, recommending a plan or enrolling someone?</t>
  </si>
  <si>
    <t>Restrict AI to approved administrative tasks; transfer regulated advice and enrollment to an appropriately licensed agent.</t>
  </si>
  <si>
    <t>Prompt rule + transfer tests</t>
  </si>
  <si>
    <t>Licensed agent</t>
  </si>
  <si>
    <t>https://www.cms.gov/medicare/health-drug-plans/managed-care-marketing/medicare-marketing-guidelines/agent-broker-compensation</t>
  </si>
  <si>
    <t>PHI / HIPAA</t>
  </si>
  <si>
    <t>Will any vendor create, receive, maintain or transmit ePHI for a covered entity/business associate?</t>
  </si>
  <si>
    <t>Confirm regulatory role, BAA, permitted use, risk analysis, access, encryption, retention and incident process.</t>
  </si>
  <si>
    <t>Vendor approval + BAA + data flow</t>
  </si>
  <si>
    <t>Privacy/Security</t>
  </si>
  <si>
    <t>https://www.hhs.gov/hipaa/for-professionals/special-topics/health-information-technology/cloud-computing/index.html</t>
  </si>
  <si>
    <t>Data minimization</t>
  </si>
  <si>
    <t>Does the workflow collect only what it needs for the approved purpose?</t>
  </si>
  <si>
    <t>Remove unnecessary fields from prompts, transcripts, logs and notifications; mask sensitive values.</t>
  </si>
  <si>
    <t>Field inventory + minimization review</t>
  </si>
  <si>
    <t>System owner</t>
  </si>
  <si>
    <t>https://www.hhs.gov/hipaa/for-professionals/privacy/index.html</t>
  </si>
  <si>
    <t>Human escalation</t>
  </si>
  <si>
    <t>Can the AI recognize uncertainty, complaints, emergencies and explicit requests for a human?</t>
  </si>
  <si>
    <t>Defined transfer triggers, safe fallback, after-hours route and failed-transfer alert.</t>
  </si>
  <si>
    <t>Scenario tests + routing table</t>
  </si>
  <si>
    <t>Operations</t>
  </si>
  <si>
    <t>https://elevenlabs.io/docs/eleven-agents/customization/tools/system-tools/transfer-to-number</t>
  </si>
  <si>
    <t>Audit &amp; incidents</t>
  </si>
  <si>
    <t>Can the team reconstruct what happened and respond to an error?</t>
  </si>
  <si>
    <t>Log consent decision, model/tool result, record changes, owner, error and recovery without exposing excess sensitive data.</t>
  </si>
  <si>
    <t>Audit sample + incident runbook</t>
  </si>
  <si>
    <t>IT/Operations</t>
  </si>
  <si>
    <t>https://www.hhs.gov/hipaa/for-professionals/security/laws-regulations/index.html</t>
  </si>
  <si>
    <t>Interview Preparation</t>
  </si>
  <si>
    <t>Answer in this order: business problem → architecture → controls/failure paths → human handoff → metrics. Use evidence from your portfolio; never invent client outcomes.</t>
  </si>
  <si>
    <t>#</t>
  </si>
  <si>
    <t>Interview Question</t>
  </si>
  <si>
    <t>A Strong Answer Must Include</t>
  </si>
  <si>
    <t>Your Answer Notes</t>
  </si>
  <si>
    <t>Evidence / Project</t>
  </si>
  <si>
    <t>Confidence (1–5)</t>
  </si>
  <si>
    <t>How would you architect an enterprise automation platform for this agency?</t>
  </si>
  <si>
    <t>Capabilities, domains, events, orchestration, data, agents, channels, controls, SLOs, ownership and roadmap.</t>
  </si>
  <si>
    <t>When do queues improve a workflow, and what complexity do they add?</t>
  </si>
  <si>
    <t>Burst absorption and isolation versus ordering, duplicates, visibility, replay, operations and latency.</t>
  </si>
  <si>
    <t>How do you achieve exactly-once business effects?</t>
  </si>
  <si>
    <t>At-least-once delivery plus idempotency, unique business keys, transaction boundaries and reconciliation.</t>
  </si>
  <si>
    <t>How do you evolve data contracts without breaking consumers?</t>
  </si>
  <si>
    <t>Versioning, compatibility, ownership, contract tests, deprecation and lineage.</t>
  </si>
  <si>
    <t>How do you route models across tasks?</t>
  </si>
  <si>
    <t>Capability/latency/cost tiers, risk, fallback, pinned versions, eval gates and budget telemetry.</t>
  </si>
  <si>
    <t>When is multi-agent architecture justified?</t>
  </si>
  <si>
    <t>Clear specialization, isolation or evaluation benefit; bounded handoffs, shared-state policy and termination.</t>
  </si>
  <si>
    <t>How do you enforce permissions in RAG?</t>
  </si>
  <si>
    <t>Identity and purpose at query time, ACL/tenant filters, provenance, cache isolation and deletion propagation.</t>
  </si>
  <si>
    <t>What should an AI release gate measure?</t>
  </si>
  <si>
    <t>Task success, trajectory/tool correctness, policy, adversarial cases, latency, cost and statistical confidence.</t>
  </si>
  <si>
    <t>How do you trace an AI-driven business action?</t>
  </si>
  <si>
    <t>Correlation across channel, model, retrieval, tool, workflow and CRM while minimizing sensitive logs.</t>
  </si>
  <si>
    <t>How would you capacity-plan a voice AI system?</t>
  </si>
  <si>
    <t>Traffic forecast, CPS/concurrency, latency, tool limits, transfer staffing, overload behavior and failover.</t>
  </si>
  <si>
    <t>How do you design voice disaster recovery?</t>
  </si>
  <si>
    <t>Carrier/SIP diversity, regional paths, DR URLs, health checks, degraded mode, RTO/RPO and exercises.</t>
  </si>
  <si>
    <t>How do you threat-model an AI automation platform?</t>
  </si>
  <si>
    <t>Assets, trust boundaries, prompt/tool/API/vendor threats, likelihood/impact, mitigations and verification.</t>
  </si>
  <si>
    <t>How do you make Medicare controls audit-ready?</t>
  </si>
  <si>
    <t>Requirement mapping, preventive/detective controls, owners, evidence, retention, exceptions and testing.</t>
  </si>
  <si>
    <t>What belongs in a production-readiness review?</t>
  </si>
  <si>
    <t>SLOs, capacity, resilience, security, compliance, operations, cost, rollout, rollback and decision log.</t>
  </si>
  <si>
    <t>How do you explain build-versus-buy to an executive?</t>
  </si>
  <si>
    <t>Strategic differentiation, time, control, compliance, integration, total cost, lock-in and staged decision.</t>
  </si>
  <si>
    <t>Official Learning Resources</t>
  </si>
  <si>
    <t>Start with official documentation. Product features and legal requirements change; verify current instructions before production use.</t>
  </si>
  <si>
    <t>Topic</t>
  </si>
  <si>
    <t>Resource</t>
  </si>
  <si>
    <t>Why It Matters</t>
  </si>
  <si>
    <t>Use On Day</t>
  </si>
  <si>
    <t>URL</t>
  </si>
  <si>
    <t>OpenAI</t>
  </si>
  <si>
    <t>API compatibility and request IDs</t>
  </si>
  <si>
    <t>Pinned versions, request tracing and production diagnostics.</t>
  </si>
  <si>
    <t>5, 10, 13</t>
  </si>
  <si>
    <t>https://platform.openai.com/docs/api-reference/backward-compatibility</t>
  </si>
  <si>
    <t>Evals API</t>
  </si>
  <si>
    <t>Programmatic evaluation runs and release evidence.</t>
  </si>
  <si>
    <t>https://platform.openai.com/docs/api-reference/evals</t>
  </si>
  <si>
    <t>Realtime API</t>
  </si>
  <si>
    <t>Realtime voice sessions, tools, SIP and tracing.</t>
  </si>
  <si>
    <t>https://platform.openai.com/docs/api-reference/realtime</t>
  </si>
  <si>
    <t>Data controls</t>
  </si>
  <si>
    <t>Retention, residency and endpoint data behavior.</t>
  </si>
  <si>
    <t>11, 24, 26</t>
  </si>
  <si>
    <t>https://platform.openai.com/docs/models/default-usage-policies-by-endpoint</t>
  </si>
  <si>
    <t>n8n</t>
  </si>
  <si>
    <t>Queue mode</t>
  </si>
  <si>
    <t>Worker-based scaling and queue architecture.</t>
  </si>
  <si>
    <t>2, 5, 18</t>
  </si>
  <si>
    <t>https://docs.n8n.io/hosting/scaling/queue-mode/</t>
  </si>
  <si>
    <t>Sub-workflows</t>
  </si>
  <si>
    <t>Bounded workflow services and reusable contracts.</t>
  </si>
  <si>
    <t>https://docs.n8n.io/flow-logic/subworkflows/</t>
  </si>
  <si>
    <t>Vapi</t>
  </si>
  <si>
    <t>Simulations</t>
  </si>
  <si>
    <t>Advanced voice-agent simulation and CI-style testing.</t>
  </si>
  <si>
    <t>12, 20</t>
  </si>
  <si>
    <t>https://docs.vapi.ai/observability/simulations-quickstart</t>
  </si>
  <si>
    <t>Monitoring</t>
  </si>
  <si>
    <t>Automated quality monitoring across production calls.</t>
  </si>
  <si>
    <t>13, 20</t>
  </si>
  <si>
    <t>https://docs.vapi.ai/observability/monitoring-quickstart</t>
  </si>
  <si>
    <t>Retell AI</t>
  </si>
  <si>
    <t>Testing overview</t>
  </si>
  <si>
    <t>Batch simulation and production validation.</t>
  </si>
  <si>
    <t>https://docs.retellai.com/test/test-overview</t>
  </si>
  <si>
    <t>Twilio</t>
  </si>
  <si>
    <t>Elastic SIP Trunking</t>
  </si>
  <si>
    <t>Secure trunking, scale, call transfer and disaster recovery.</t>
  </si>
  <si>
    <t>https://www.twilio.com/docs/sip-trunking</t>
  </si>
  <si>
    <t>Voice failover best practices</t>
  </si>
  <si>
    <t>Regional routing and failure recovery.</t>
  </si>
  <si>
    <t>20, 25</t>
  </si>
  <si>
    <t>https://www.twilio.com/docs/voice/twilio-voice-failover-best-practices</t>
  </si>
  <si>
    <t>CMS</t>
  </si>
  <si>
    <t>2026 agent/broker training guidelines</t>
  </si>
  <si>
    <t>TPMO oversight and required call-recording guidance.</t>
  </si>
  <si>
    <t>Medicare marketing guidelines</t>
  </si>
  <si>
    <t>Official Medicare communication and marketing guidance.</t>
  </si>
  <si>
    <t>FCC</t>
  </si>
  <si>
    <t>AI-generated voice TCPA ruling</t>
  </si>
  <si>
    <t>Consent, identification and opt-out treatment for AI voice.</t>
  </si>
  <si>
    <t>19, 26</t>
  </si>
  <si>
    <t>HHS</t>
  </si>
  <si>
    <t>HIPAA Security Rule</t>
  </si>
  <si>
    <t>Administrative, physical and technical safeguard framework.</t>
  </si>
  <si>
    <t>24-26</t>
  </si>
  <si>
    <t>HIPAA and cloud computing</t>
  </si>
  <si>
    <t>Business associate, BAA and cloud risk 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</si>
</sst>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17">
    <font>
      <sz val="11.0"/>
      <color rgb="FF000000"/>
      <name val="Carlito"/>
      <scheme val="minor"/>
    </font>
    <font>
      <b/>
      <sz val="19.0"/>
      <color rgb="FFFFFFFF"/>
      <name val="Aptos"/>
    </font>
    <font/>
    <font>
      <i/>
      <sz val="10.0"/>
      <color rgb="FF52606D"/>
      <name val="Aptos"/>
    </font>
    <font>
      <sz val="11.0"/>
      <color theme="1"/>
      <name val="Aptos"/>
    </font>
    <font>
      <b/>
      <sz val="10.0"/>
      <color rgb="FFFFFFFF"/>
      <name val="Aptos"/>
    </font>
    <font>
      <b/>
      <sz val="9.0"/>
      <color rgb="FFFFFFFF"/>
      <name val="Aptos"/>
    </font>
    <font>
      <b/>
      <sz val="11.0"/>
      <color rgb="FF102A43"/>
      <name val="Aptos"/>
    </font>
    <font>
      <b/>
      <sz val="20.0"/>
      <color rgb="FF2F6BFF"/>
      <name val="Aptos"/>
    </font>
    <font>
      <sz val="11.0"/>
      <color rgb="FF102A43"/>
      <name val="Aptos"/>
    </font>
    <font>
      <i/>
      <sz val="9.0"/>
      <color rgb="FF52606D"/>
      <name val="Aptos"/>
    </font>
    <font>
      <b/>
      <sz val="19.0"/>
      <color rgb="FFFFFFFF"/>
      <name val="Play"/>
    </font>
    <font>
      <sz val="10.0"/>
      <color rgb="FF52606D"/>
      <name val="Aptos"/>
    </font>
    <font>
      <sz val="10.0"/>
      <color rgb="FF243746"/>
      <name val="Aptos"/>
    </font>
    <font>
      <b/>
      <sz val="10.0"/>
      <color rgb="FF102A43"/>
      <name val="Aptos"/>
    </font>
    <font>
      <sz val="9.0"/>
      <color rgb="FF2F6BFF"/>
      <name val="Aptos"/>
    </font>
    <font>
      <sz val="10.0"/>
      <color rgb="FF102A43"/>
      <name val="Aptos"/>
    </font>
  </fonts>
  <fills count="16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FFFFFF"/>
        <bgColor rgb="FFFFFFFF"/>
      </patternFill>
    </fill>
    <fill>
      <patternFill patternType="solid">
        <fgColor rgb="FF147D73"/>
        <bgColor rgb="FF147D73"/>
      </patternFill>
    </fill>
    <fill>
      <patternFill patternType="solid">
        <fgColor rgb="FFF4F7FA"/>
        <bgColor rgb="FFF4F7FA"/>
      </patternFill>
    </fill>
    <fill>
      <patternFill patternType="solid">
        <fgColor rgb="FFFFF7E1"/>
        <bgColor rgb="FFFFF7E1"/>
      </patternFill>
    </fill>
    <fill>
      <patternFill patternType="solid">
        <fgColor rgb="FFEEF4FF"/>
        <bgColor rgb="FFEEF4FF"/>
      </patternFill>
    </fill>
    <fill>
      <patternFill patternType="solid">
        <fgColor rgb="FFE9F7F3"/>
        <bgColor rgb="FFE9F7F3"/>
      </patternFill>
    </fill>
    <fill>
      <patternFill patternType="solid">
        <fgColor rgb="FF6D5BD0"/>
        <bgColor rgb="FF6D5BD0"/>
      </patternFill>
    </fill>
    <fill>
      <patternFill patternType="solid">
        <fgColor rgb="FFF1EEFF"/>
        <bgColor rgb="FFF1EEFF"/>
      </patternFill>
    </fill>
    <fill>
      <patternFill patternType="solid">
        <fgColor rgb="FFC65D4B"/>
        <bgColor rgb="FFC65D4B"/>
      </patternFill>
    </fill>
    <fill>
      <patternFill patternType="solid">
        <fgColor rgb="FFFCEFEB"/>
        <bgColor rgb="FFFCEFEB"/>
      </patternFill>
    </fill>
    <fill>
      <patternFill patternType="solid">
        <fgColor rgb="FFD6A847"/>
        <bgColor rgb="FFD6A847"/>
      </patternFill>
    </fill>
    <fill>
      <patternFill patternType="solid">
        <fgColor rgb="FFEAF6EE"/>
        <bgColor rgb="FFEAF6EE"/>
      </patternFill>
    </fill>
    <fill>
      <patternFill patternType="solid">
        <fgColor rgb="FFFCEDEA"/>
        <bgColor rgb="FFFCEDEA"/>
      </patternFill>
    </fill>
  </fills>
  <borders count="19">
    <border/>
    <border>
      <bottom style="thick">
        <color rgb="FFD6A847"/>
      </bottom>
    </border>
    <border>
      <bottom style="thin">
        <color rgb="FFD9E2EC"/>
      </bottom>
    </border>
    <border>
      <bottom style="medium">
        <color rgb="FF102A43"/>
      </bottom>
    </border>
    <border>
      <top style="thin">
        <color rgb="FFD9E2EC"/>
      </top>
      <bottom style="thin">
        <color rgb="FFD9E2EC"/>
      </bottom>
    </border>
    <border>
      <top style="thin">
        <color rgb="FFD9E2EC"/>
      </top>
    </border>
    <border>
      <bottom style="medium">
        <color rgb="FFD6A847"/>
      </bottom>
    </border>
    <border>
      <left style="thin">
        <color rgb="FFD9E2EC"/>
      </left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right style="thin">
        <color rgb="FF72B5AE"/>
      </right>
      <bottom style="medium">
        <color rgb="FF102A43"/>
      </bottom>
    </border>
    <border>
      <left style="thin">
        <color rgb="FF72B5AE"/>
      </left>
      <right style="thin">
        <color rgb="FF72B5AE"/>
      </right>
      <bottom style="medium">
        <color rgb="FF102A43"/>
      </bottom>
    </border>
    <border>
      <left style="thin">
        <color rgb="FF72B5AE"/>
      </left>
      <bottom style="medium">
        <color rgb="FF102A43"/>
      </bottom>
    </border>
    <border>
      <top style="thick">
        <color rgb="FF102A43"/>
      </top>
      <bottom style="thin">
        <color rgb="FFD9E2EC"/>
      </bottom>
    </border>
    <border>
      <top style="medium">
        <color rgb="FFD6A847"/>
      </top>
      <bottom style="medium">
        <color rgb="FFD6A847"/>
      </bottom>
    </border>
    <border>
      <top style="thick">
        <color rgb="FF102A43"/>
      </top>
      <bottom style="medium">
        <color rgb="FFD6A847"/>
      </bottom>
    </border>
    <border>
      <bottom style="medium">
        <color rgb="FFD9E2EC"/>
      </bottom>
    </border>
    <border>
      <top style="thin">
        <color rgb="FFD9E2EC"/>
      </top>
      <bottom style="medium">
        <color rgb="FFD9E2EC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Border="1" applyFont="1"/>
    <xf borderId="2" fillId="3" fontId="3" numFmtId="0" xfId="0" applyAlignment="1" applyBorder="1" applyFill="1" applyFont="1">
      <alignment shrinkToFit="0" vertical="center" wrapText="1"/>
    </xf>
    <xf borderId="2" fillId="0" fontId="2" numFmtId="0" xfId="0" applyBorder="1" applyFont="1"/>
    <xf borderId="0" fillId="0" fontId="4" numFmtId="0" xfId="0" applyFont="1"/>
    <xf borderId="3" fillId="4" fontId="5" numFmtId="0" xfId="0" applyBorder="1" applyFill="1" applyFont="1"/>
    <xf borderId="3" fillId="0" fontId="2" numFmtId="0" xfId="0" applyBorder="1" applyFont="1"/>
    <xf borderId="0" fillId="2" fontId="6" numFmtId="0" xfId="0" applyAlignment="1" applyFont="1">
      <alignment horizontal="center" vertical="center"/>
    </xf>
    <xf borderId="2" fillId="5" fontId="7" numFmtId="0" xfId="0" applyAlignment="1" applyBorder="1" applyFill="1" applyFont="1">
      <alignment vertical="center"/>
    </xf>
    <xf borderId="2" fillId="6" fontId="7" numFmtId="164" xfId="0" applyAlignment="1" applyBorder="1" applyFill="1" applyFont="1" applyNumberFormat="1">
      <alignment shrinkToFit="0" vertical="center" wrapText="1"/>
    </xf>
    <xf borderId="2" fillId="7" fontId="8" numFmtId="1" xfId="0" applyAlignment="1" applyBorder="1" applyFill="1" applyFont="1" applyNumberFormat="1">
      <alignment horizontal="center" vertical="center"/>
    </xf>
    <xf borderId="2" fillId="7" fontId="8" numFmtId="9" xfId="0" applyAlignment="1" applyBorder="1" applyFont="1" applyNumberFormat="1">
      <alignment horizontal="center" vertical="center"/>
    </xf>
    <xf borderId="4" fillId="5" fontId="7" numFmtId="0" xfId="0" applyAlignment="1" applyBorder="1" applyFont="1">
      <alignment vertical="center"/>
    </xf>
    <xf borderId="4" fillId="0" fontId="2" numFmtId="0" xfId="0" applyBorder="1" applyFont="1"/>
    <xf borderId="4" fillId="6" fontId="7" numFmtId="165" xfId="0" applyAlignment="1" applyBorder="1" applyFont="1" applyNumberFormat="1">
      <alignment shrinkToFit="0" vertical="center" wrapText="1"/>
    </xf>
    <xf borderId="5" fillId="5" fontId="7" numFmtId="0" xfId="0" applyAlignment="1" applyBorder="1" applyFont="1">
      <alignment vertical="center"/>
    </xf>
    <xf borderId="5" fillId="0" fontId="2" numFmtId="0" xfId="0" applyBorder="1" applyFont="1"/>
    <xf borderId="5" fillId="6" fontId="7" numFmtId="0" xfId="0" applyAlignment="1" applyBorder="1" applyFont="1">
      <alignment shrinkToFit="0" vertical="center" wrapText="1"/>
    </xf>
    <xf borderId="6" fillId="2" fontId="5" numFmtId="0" xfId="0" applyBorder="1" applyFont="1"/>
    <xf borderId="6" fillId="0" fontId="2" numFmtId="0" xfId="0" applyBorder="1" applyFont="1"/>
    <xf borderId="2" fillId="4" fontId="6" numFmtId="0" xfId="0" applyAlignment="1" applyBorder="1" applyFont="1">
      <alignment vertical="center"/>
    </xf>
    <xf borderId="2" fillId="8" fontId="7" numFmtId="0" xfId="0" applyAlignment="1" applyBorder="1" applyFill="1" applyFont="1">
      <alignment horizontal="center" vertical="center"/>
    </xf>
    <xf borderId="2" fillId="8" fontId="9" numFmtId="0" xfId="0" applyAlignment="1" applyBorder="1" applyFont="1">
      <alignment shrinkToFit="0" vertical="center" wrapText="1"/>
    </xf>
    <xf borderId="2" fillId="9" fontId="6" numFmtId="0" xfId="0" applyAlignment="1" applyBorder="1" applyFill="1" applyFont="1">
      <alignment vertical="center"/>
    </xf>
    <xf borderId="2" fillId="10" fontId="7" numFmtId="0" xfId="0" applyAlignment="1" applyBorder="1" applyFill="1" applyFont="1">
      <alignment horizontal="center" vertical="center"/>
    </xf>
    <xf borderId="2" fillId="10" fontId="9" numFmtId="0" xfId="0" applyAlignment="1" applyBorder="1" applyFont="1">
      <alignment shrinkToFit="0" vertical="center" wrapText="1"/>
    </xf>
    <xf borderId="2" fillId="11" fontId="6" numFmtId="0" xfId="0" applyAlignment="1" applyBorder="1" applyFill="1" applyFont="1">
      <alignment vertical="center"/>
    </xf>
    <xf borderId="2" fillId="12" fontId="7" numFmtId="0" xfId="0" applyAlignment="1" applyBorder="1" applyFill="1" applyFont="1">
      <alignment horizontal="center" vertical="center"/>
    </xf>
    <xf borderId="2" fillId="12" fontId="9" numFmtId="0" xfId="0" applyAlignment="1" applyBorder="1" applyFont="1">
      <alignment shrinkToFit="0" vertical="center" wrapText="1"/>
    </xf>
    <xf borderId="2" fillId="13" fontId="6" numFmtId="0" xfId="0" applyAlignment="1" applyBorder="1" applyFill="1" applyFont="1">
      <alignment vertical="center"/>
    </xf>
    <xf borderId="2" fillId="6" fontId="7" numFmtId="0" xfId="0" applyAlignment="1" applyBorder="1" applyFont="1">
      <alignment horizontal="center" vertical="center"/>
    </xf>
    <xf borderId="2" fillId="6" fontId="9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vertical="center"/>
    </xf>
    <xf borderId="2" fillId="7" fontId="7" numFmtId="0" xfId="0" applyAlignment="1" applyBorder="1" applyFont="1">
      <alignment horizontal="center" vertical="center"/>
    </xf>
    <xf borderId="2" fillId="7" fontId="9" numFmtId="0" xfId="0" applyAlignment="1" applyBorder="1" applyFont="1">
      <alignment shrinkToFit="0" vertical="center" wrapText="1"/>
    </xf>
    <xf borderId="0" fillId="4" fontId="5" numFmtId="0" xfId="0" applyFont="1"/>
    <xf borderId="7" fillId="5" fontId="9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2" fontId="5" numFmtId="0" xfId="0" applyFont="1"/>
    <xf borderId="2" fillId="3" fontId="9" numFmtId="0" xfId="0" applyAlignment="1" applyBorder="1" applyFont="1">
      <alignment vertical="center"/>
    </xf>
    <xf borderId="2" fillId="5" fontId="9" numFmtId="0" xfId="0" applyAlignment="1" applyBorder="1" applyFont="1">
      <alignment vertical="center"/>
    </xf>
    <xf borderId="0" fillId="6" fontId="10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1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shrinkToFit="0" vertical="center" wrapText="1"/>
    </xf>
    <xf borderId="14" fillId="8" fontId="7" numFmtId="0" xfId="0" applyAlignment="1" applyBorder="1" applyFont="1">
      <alignment horizontal="center" shrinkToFit="0" vertical="center" wrapText="1"/>
    </xf>
    <xf borderId="14" fillId="8" fontId="12" numFmtId="165" xfId="0" applyAlignment="1" applyBorder="1" applyFont="1" applyNumberFormat="1">
      <alignment horizontal="center" shrinkToFit="0" vertical="center" wrapText="1"/>
    </xf>
    <xf borderId="14" fillId="4" fontId="6" numFmtId="0" xfId="0" applyAlignment="1" applyBorder="1" applyFont="1">
      <alignment shrinkToFit="0" vertical="center" wrapText="1"/>
    </xf>
    <xf borderId="14" fillId="3" fontId="13" numFmtId="0" xfId="0" applyAlignment="1" applyBorder="1" applyFont="1">
      <alignment shrinkToFit="0" vertical="top" wrapText="1"/>
    </xf>
    <xf borderId="14" fillId="3" fontId="13" numFmtId="164" xfId="0" applyAlignment="1" applyBorder="1" applyFont="1" applyNumberFormat="1">
      <alignment shrinkToFit="0" vertical="top" wrapText="1"/>
    </xf>
    <xf borderId="14" fillId="6" fontId="13" numFmtId="0" xfId="0" applyAlignment="1" applyBorder="1" applyFont="1">
      <alignment horizontal="center" shrinkToFit="0" vertical="center" wrapText="1"/>
    </xf>
    <xf borderId="14" fillId="6" fontId="13" numFmtId="1" xfId="0" applyAlignment="1" applyBorder="1" applyFont="1" applyNumberFormat="1">
      <alignment horizontal="center" shrinkToFit="0" vertical="center" wrapText="1"/>
    </xf>
    <xf borderId="14" fillId="6" fontId="13" numFmtId="0" xfId="0" applyAlignment="1" applyBorder="1" applyFont="1">
      <alignment shrinkToFit="0" vertical="top" wrapText="1"/>
    </xf>
    <xf borderId="4" fillId="8" fontId="7" numFmtId="0" xfId="0" applyAlignment="1" applyBorder="1" applyFont="1">
      <alignment horizontal="center" shrinkToFit="0" vertical="center" wrapText="1"/>
    </xf>
    <xf borderId="4" fillId="8" fontId="12" numFmtId="165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shrinkToFit="0" vertical="center" wrapText="1"/>
    </xf>
    <xf borderId="4" fillId="3" fontId="13" numFmtId="0" xfId="0" applyAlignment="1" applyBorder="1" applyFont="1">
      <alignment shrinkToFit="0" vertical="top" wrapText="1"/>
    </xf>
    <xf borderId="4" fillId="3" fontId="13" numFmtId="164" xfId="0" applyAlignment="1" applyBorder="1" applyFont="1" applyNumberFormat="1">
      <alignment shrinkToFit="0" vertical="top" wrapText="1"/>
    </xf>
    <xf borderId="4" fillId="6" fontId="13" numFmtId="0" xfId="0" applyAlignment="1" applyBorder="1" applyFont="1">
      <alignment horizontal="center" shrinkToFit="0" vertical="center" wrapText="1"/>
    </xf>
    <xf borderId="4" fillId="6" fontId="13" numFmtId="1" xfId="0" applyAlignment="1" applyBorder="1" applyFont="1" applyNumberFormat="1">
      <alignment horizontal="center" shrinkToFit="0" vertical="center" wrapText="1"/>
    </xf>
    <xf borderId="4" fillId="6" fontId="13" numFmtId="0" xfId="0" applyAlignment="1" applyBorder="1" applyFont="1">
      <alignment shrinkToFit="0" vertical="top" wrapText="1"/>
    </xf>
    <xf borderId="15" fillId="8" fontId="7" numFmtId="0" xfId="0" applyAlignment="1" applyBorder="1" applyFont="1">
      <alignment horizontal="center" shrinkToFit="0" vertical="center" wrapText="1"/>
    </xf>
    <xf borderId="15" fillId="8" fontId="12" numFmtId="165" xfId="0" applyAlignment="1" applyBorder="1" applyFont="1" applyNumberFormat="1">
      <alignment horizontal="center"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6" fontId="14" numFmtId="0" xfId="0" applyAlignment="1" applyBorder="1" applyFont="1">
      <alignment shrinkToFit="0" vertical="top" wrapText="1"/>
    </xf>
    <xf borderId="15" fillId="6" fontId="14" numFmtId="164" xfId="0" applyAlignment="1" applyBorder="1" applyFont="1" applyNumberFormat="1">
      <alignment shrinkToFit="0" vertical="top" wrapText="1"/>
    </xf>
    <xf borderId="14" fillId="10" fontId="7" numFmtId="0" xfId="0" applyAlignment="1" applyBorder="1" applyFont="1">
      <alignment horizontal="center" shrinkToFit="0" vertical="center" wrapText="1"/>
    </xf>
    <xf borderId="14" fillId="10" fontId="12" numFmtId="165" xfId="0" applyAlignment="1" applyBorder="1" applyFont="1" applyNumberFormat="1">
      <alignment horizontal="center" shrinkToFit="0" vertical="center" wrapText="1"/>
    </xf>
    <xf borderId="14" fillId="9" fontId="6" numFmtId="0" xfId="0" applyAlignment="1" applyBorder="1" applyFont="1">
      <alignment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12" numFmtId="165" xfId="0" applyAlignment="1" applyBorder="1" applyFont="1" applyNumberFormat="1">
      <alignment horizontal="center" shrinkToFit="0" vertical="center" wrapText="1"/>
    </xf>
    <xf borderId="4" fillId="9" fontId="6" numFmtId="0" xfId="0" applyAlignment="1" applyBorder="1" applyFont="1">
      <alignment shrinkToFit="0" vertical="center" wrapText="1"/>
    </xf>
    <xf borderId="15" fillId="10" fontId="7" numFmtId="0" xfId="0" applyAlignment="1" applyBorder="1" applyFont="1">
      <alignment horizontal="center" shrinkToFit="0" vertical="center" wrapText="1"/>
    </xf>
    <xf borderId="15" fillId="10" fontId="12" numFmtId="165" xfId="0" applyAlignment="1" applyBorder="1" applyFont="1" applyNumberFormat="1">
      <alignment horizontal="center" shrinkToFit="0" vertical="center" wrapText="1"/>
    </xf>
    <xf borderId="15" fillId="9" fontId="6" numFmtId="0" xfId="0" applyAlignment="1" applyBorder="1" applyFont="1">
      <alignment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4" fillId="12" fontId="12" numFmtId="165" xfId="0" applyAlignment="1" applyBorder="1" applyFont="1" applyNumberFormat="1">
      <alignment horizontal="center" shrinkToFit="0" vertical="center" wrapText="1"/>
    </xf>
    <xf borderId="4" fillId="11" fontId="6" numFmtId="0" xfId="0" applyAlignment="1" applyBorder="1" applyFont="1">
      <alignment shrinkToFit="0" vertical="center" wrapText="1"/>
    </xf>
    <xf borderId="15" fillId="12" fontId="7" numFmtId="0" xfId="0" applyAlignment="1" applyBorder="1" applyFont="1">
      <alignment horizontal="center" shrinkToFit="0" vertical="center" wrapText="1"/>
    </xf>
    <xf borderId="15" fillId="12" fontId="12" numFmtId="165" xfId="0" applyAlignment="1" applyBorder="1" applyFont="1" applyNumberFormat="1">
      <alignment horizontal="center" shrinkToFit="0" vertical="center" wrapText="1"/>
    </xf>
    <xf borderId="15" fillId="11" fontId="6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12" numFmtId="165" xfId="0" applyAlignment="1" applyBorder="1" applyFont="1" applyNumberFormat="1">
      <alignment horizontal="center" shrinkToFit="0" vertical="center" wrapText="1"/>
    </xf>
    <xf borderId="4" fillId="13" fontId="6" numFmtId="0" xfId="0" applyAlignment="1" applyBorder="1" applyFont="1">
      <alignment shrinkToFit="0" vertical="center" wrapText="1"/>
    </xf>
    <xf borderId="14" fillId="6" fontId="7" numFmtId="0" xfId="0" applyAlignment="1" applyBorder="1" applyFont="1">
      <alignment horizontal="center" shrinkToFit="0" vertical="center" wrapText="1"/>
    </xf>
    <xf borderId="14" fillId="6" fontId="12" numFmtId="165" xfId="0" applyAlignment="1" applyBorder="1" applyFont="1" applyNumberFormat="1">
      <alignment horizontal="center" shrinkToFit="0" vertical="center" wrapText="1"/>
    </xf>
    <xf borderId="14" fillId="13" fontId="6" numFmtId="0" xfId="0" applyAlignment="1" applyBorder="1" applyFont="1">
      <alignment shrinkToFit="0" vertical="center" wrapText="1"/>
    </xf>
    <xf borderId="15" fillId="7" fontId="7" numFmtId="0" xfId="0" applyAlignment="1" applyBorder="1" applyFont="1">
      <alignment horizontal="center" shrinkToFit="0" vertical="center" wrapText="1"/>
    </xf>
    <xf borderId="15" fillId="7" fontId="12" numFmtId="165" xfId="0" applyAlignment="1" applyBorder="1" applyFont="1" applyNumberFormat="1">
      <alignment horizontal="center" shrinkToFit="0" vertical="center" wrapText="1"/>
    </xf>
    <xf borderId="15" fillId="2" fontId="6" numFmtId="0" xfId="0" applyAlignment="1" applyBorder="1" applyFont="1">
      <alignment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7" fontId="12" numFmtId="165" xfId="0" applyAlignment="1" applyBorder="1" applyFont="1" applyNumberFormat="1">
      <alignment horizontal="center" shrinkToFit="0" vertical="center" wrapText="1"/>
    </xf>
    <xf borderId="16" fillId="2" fontId="6" numFmtId="0" xfId="0" applyAlignment="1" applyBorder="1" applyFont="1">
      <alignment shrinkToFit="0" vertical="center" wrapText="1"/>
    </xf>
    <xf borderId="16" fillId="6" fontId="14" numFmtId="0" xfId="0" applyAlignment="1" applyBorder="1" applyFont="1">
      <alignment shrinkToFit="0" vertical="top" wrapText="1"/>
    </xf>
    <xf borderId="16" fillId="6" fontId="14" numFmtId="164" xfId="0" applyAlignment="1" applyBorder="1" applyFont="1" applyNumberFormat="1">
      <alignment shrinkToFit="0" vertical="top" wrapText="1"/>
    </xf>
    <xf borderId="16" fillId="6" fontId="13" numFmtId="0" xfId="0" applyAlignment="1" applyBorder="1" applyFont="1">
      <alignment horizontal="center" shrinkToFit="0" vertical="center" wrapText="1"/>
    </xf>
    <xf borderId="16" fillId="6" fontId="13" numFmtId="1" xfId="0" applyAlignment="1" applyBorder="1" applyFont="1" applyNumberFormat="1">
      <alignment horizontal="center" shrinkToFit="0" vertical="center" wrapText="1"/>
    </xf>
    <xf borderId="16" fillId="6" fontId="13" numFmtId="0" xfId="0" applyAlignment="1" applyBorder="1" applyFont="1">
      <alignment shrinkToFit="0" vertical="top" wrapText="1"/>
    </xf>
    <xf borderId="5" fillId="6" fontId="13" numFmtId="0" xfId="0" applyAlignment="1" applyBorder="1" applyFont="1">
      <alignment horizontal="center" shrinkToFit="0" vertical="center" wrapText="1"/>
    </xf>
    <xf borderId="5" fillId="6" fontId="13" numFmtId="1" xfId="0" applyAlignment="1" applyBorder="1" applyFont="1" applyNumberFormat="1">
      <alignment horizontal="center" shrinkToFit="0" vertical="center" wrapText="1"/>
    </xf>
    <xf borderId="5" fillId="6" fontId="13" numFmtId="0" xfId="0" applyAlignment="1" applyBorder="1" applyFont="1">
      <alignment shrinkToFit="0" vertical="top" wrapText="1"/>
    </xf>
    <xf borderId="17" fillId="4" fontId="5" numFmtId="0" xfId="0" applyAlignment="1" applyBorder="1" applyFont="1">
      <alignment shrinkToFit="0" vertical="top" wrapText="1"/>
    </xf>
    <xf borderId="17" fillId="8" fontId="13" numFmtId="0" xfId="0" applyAlignment="1" applyBorder="1" applyFont="1">
      <alignment shrinkToFit="0" vertical="top" wrapText="1"/>
    </xf>
    <xf borderId="17" fillId="8" fontId="14" numFmtId="0" xfId="0" applyAlignment="1" applyBorder="1" applyFont="1">
      <alignment horizontal="center" shrinkToFit="0" vertical="center" wrapText="1"/>
    </xf>
    <xf borderId="17" fillId="6" fontId="13" numFmtId="0" xfId="0" applyAlignment="1" applyBorder="1" applyFont="1">
      <alignment horizontal="center" shrinkToFit="0" vertical="center" wrapText="1"/>
    </xf>
    <xf borderId="18" fillId="9" fontId="5" numFmtId="0" xfId="0" applyAlignment="1" applyBorder="1" applyFont="1">
      <alignment shrinkToFit="0" vertical="top" wrapText="1"/>
    </xf>
    <xf borderId="18" fillId="10" fontId="13" numFmtId="0" xfId="0" applyAlignment="1" applyBorder="1" applyFont="1">
      <alignment shrinkToFit="0" vertical="top" wrapText="1"/>
    </xf>
    <xf borderId="18" fillId="10" fontId="14" numFmtId="0" xfId="0" applyAlignment="1" applyBorder="1" applyFont="1">
      <alignment horizontal="center" shrinkToFit="0" vertical="center" wrapText="1"/>
    </xf>
    <xf borderId="18" fillId="6" fontId="13" numFmtId="0" xfId="0" applyAlignment="1" applyBorder="1" applyFont="1">
      <alignment horizontal="center" shrinkToFit="0" vertical="center" wrapText="1"/>
    </xf>
    <xf borderId="18" fillId="11" fontId="5" numFmtId="0" xfId="0" applyAlignment="1" applyBorder="1" applyFont="1">
      <alignment shrinkToFit="0" vertical="top" wrapText="1"/>
    </xf>
    <xf borderId="18" fillId="12" fontId="13" numFmtId="0" xfId="0" applyAlignment="1" applyBorder="1" applyFont="1">
      <alignment shrinkToFit="0" vertical="top" wrapText="1"/>
    </xf>
    <xf borderId="18" fillId="12" fontId="14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shrinkToFit="0" vertical="top" wrapText="1"/>
    </xf>
    <xf borderId="18" fillId="7" fontId="13" numFmtId="0" xfId="0" applyAlignment="1" applyBorder="1" applyFont="1">
      <alignment shrinkToFit="0" vertical="top" wrapText="1"/>
    </xf>
    <xf borderId="18" fillId="7" fontId="14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shrinkToFit="0" vertical="top" wrapText="1"/>
    </xf>
    <xf borderId="2" fillId="7" fontId="14" numFmtId="0" xfId="0" applyAlignment="1" applyBorder="1" applyFont="1">
      <alignment horizontal="center" shrinkToFit="0" vertical="center" wrapText="1"/>
    </xf>
    <xf borderId="2" fillId="6" fontId="14" numFmtId="0" xfId="0" applyAlignment="1" applyBorder="1" applyFont="1">
      <alignment horizontal="center" shrinkToFit="0" vertical="center" wrapText="1"/>
    </xf>
    <xf borderId="2" fillId="14" fontId="14" numFmtId="0" xfId="0" applyAlignment="1" applyBorder="1" applyFill="1" applyFont="1">
      <alignment horizontal="center" shrinkToFit="0" vertical="center" wrapText="1"/>
    </xf>
    <xf borderId="2" fillId="6" fontId="13" numFmtId="0" xfId="0" applyAlignment="1" applyBorder="1" applyFont="1">
      <alignment shrinkToFit="0" vertical="top" wrapText="1"/>
    </xf>
    <xf borderId="4" fillId="5" fontId="14" numFmtId="0" xfId="0" applyAlignment="1" applyBorder="1" applyFont="1">
      <alignment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shrinkToFit="0" vertical="center" wrapText="1"/>
    </xf>
    <xf borderId="5" fillId="3" fontId="13" numFmtId="0" xfId="0" applyAlignment="1" applyBorder="1" applyFont="1">
      <alignment shrinkToFit="0" vertical="top" wrapText="1"/>
    </xf>
    <xf borderId="5" fillId="7" fontId="14" numFmtId="0" xfId="0" applyAlignment="1" applyBorder="1" applyFont="1">
      <alignment horizontal="center" shrinkToFit="0" vertical="center" wrapText="1"/>
    </xf>
    <xf borderId="5" fillId="6" fontId="14" numFmtId="0" xfId="0" applyAlignment="1" applyBorder="1" applyFont="1">
      <alignment horizontal="center" shrinkToFit="0" vertical="center" wrapText="1"/>
    </xf>
    <xf borderId="5" fillId="14" fontId="14" numFmtId="0" xfId="0" applyAlignment="1" applyBorder="1" applyFont="1">
      <alignment horizontal="center" shrinkToFit="0" vertical="center" wrapText="1"/>
    </xf>
    <xf borderId="2" fillId="15" fontId="14" numFmtId="0" xfId="0" applyAlignment="1" applyBorder="1" applyFill="1" applyFont="1">
      <alignment shrinkToFit="0" vertical="top" wrapText="1"/>
    </xf>
    <xf borderId="2" fillId="7" fontId="15" numFmtId="0" xfId="0" applyAlignment="1" applyBorder="1" applyFont="1">
      <alignment shrinkToFit="0" vertical="top" wrapText="1"/>
    </xf>
    <xf borderId="4" fillId="15" fontId="14" numFmtId="0" xfId="0" applyAlignment="1" applyBorder="1" applyFont="1">
      <alignment shrinkToFit="0" vertical="top" wrapText="1"/>
    </xf>
    <xf borderId="4" fillId="7" fontId="15" numFmtId="0" xfId="0" applyAlignment="1" applyBorder="1" applyFont="1">
      <alignment shrinkToFit="0" vertical="top" wrapText="1"/>
    </xf>
    <xf borderId="5" fillId="15" fontId="14" numFmtId="0" xfId="0" applyAlignment="1" applyBorder="1" applyFont="1">
      <alignment shrinkToFit="0" vertical="top" wrapText="1"/>
    </xf>
    <xf borderId="5" fillId="7" fontId="15" numFmtId="0" xfId="0" applyAlignment="1" applyBorder="1" applyFont="1">
      <alignment shrinkToFit="0" vertical="top" wrapText="1"/>
    </xf>
    <xf borderId="2" fillId="2" fontId="5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shrinkToFit="0" vertical="top" wrapText="1"/>
    </xf>
    <xf borderId="2" fillId="7" fontId="16" numFmtId="0" xfId="0" applyAlignment="1" applyBorder="1" applyFont="1">
      <alignment shrinkToFit="0" vertical="top" wrapText="1"/>
    </xf>
    <xf borderId="2" fillId="15" fontId="1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shrinkToFit="0" vertical="top" wrapText="1"/>
    </xf>
    <xf borderId="4" fillId="7" fontId="16" numFmtId="0" xfId="0" applyAlignment="1" applyBorder="1" applyFont="1">
      <alignment shrinkToFit="0" vertical="top" wrapText="1"/>
    </xf>
    <xf borderId="4" fillId="15" fontId="1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shrinkToFit="0" vertical="top" wrapText="1"/>
    </xf>
    <xf borderId="5" fillId="7" fontId="16" numFmtId="0" xfId="0" applyAlignment="1" applyBorder="1" applyFont="1">
      <alignment shrinkToFit="0" vertical="top" wrapText="1"/>
    </xf>
    <xf borderId="5" fillId="1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b/>
        <color rgb="FF15803D"/>
      </font>
      <fill>
        <patternFill patternType="solid">
          <fgColor rgb="FFEAF6EE"/>
          <bgColor rgb="FFEAF6EE"/>
        </patternFill>
      </fill>
      <border/>
    </dxf>
    <dxf>
      <font>
        <b/>
        <color rgb="FFB42318"/>
      </font>
      <fill>
        <patternFill patternType="solid">
          <fgColor rgb="FFFCEDEA"/>
          <bgColor rgb="FFFCEDEA"/>
        </patternFill>
      </fill>
      <border/>
    </dxf>
    <dxf>
      <font>
        <b/>
        <color rgb="FF2F6BFF"/>
      </font>
      <fill>
        <patternFill patternType="solid">
          <fgColor rgb="FFEEF4FF"/>
          <bgColor rgb="FFEEF4FF"/>
        </patternFill>
      </fill>
      <border/>
    </dxf>
    <dxf>
      <font>
        <b/>
        <color rgb="FF8A5B00"/>
      </font>
      <fill>
        <patternFill patternType="solid">
          <fgColor rgb="FFFFF7E1"/>
          <bgColor rgb="FFFFF7E1"/>
        </patternFill>
      </fill>
      <border/>
    </dxf>
  </dxfs>
  <tableStyles count="6">
    <tableStyle count="3" pivot="0" name="30-Day Plan-style">
      <tableStyleElement dxfId="1" type="headerRow"/>
      <tableStyleElement dxfId="2" type="firstRowStripe"/>
      <tableStyleElement dxfId="1" type="secondRowStripe"/>
    </tableStyle>
    <tableStyle count="3" pivot="0" name="Portfolio Projects-style">
      <tableStyleElement dxfId="1" type="headerRow"/>
      <tableStyleElement dxfId="2" type="firstRowStripe"/>
      <tableStyleElement dxfId="1" type="secondRowStripe"/>
    </tableStyle>
    <tableStyle count="3" pivot="0" name="Skills Tracker-style">
      <tableStyleElement dxfId="1" type="headerRow"/>
      <tableStyleElement dxfId="2" type="firstRowStripe"/>
      <tableStyleElement dxfId="1" type="secondRowStripe"/>
    </tableStyle>
    <tableStyle count="3" pivot="0" name="Compliance-style">
      <tableStyleElement dxfId="1" type="headerRow"/>
      <tableStyleElement dxfId="2" type="firstRowStripe"/>
      <tableStyleElement dxfId="1" type="secondRowStripe"/>
    </tableStyle>
    <tableStyle count="3" pivot="0" name="Interview Prep-style">
      <tableStyleElement dxfId="1" type="headerRow"/>
      <tableStyleElement dxfId="2" type="firstRowStripe"/>
      <tableStyleElement dxfId="1" type="secondRowStripe"/>
    </tableStyle>
    <tableStyle count="3" pivot="0" name="Resource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M34" displayName="Table_1" name="Table_1" id="1">
  <tableColumns count="13">
    <tableColumn name="Day" id="1"/>
    <tableColumn name="Planned Date" id="2"/>
    <tableColumn name="Phase" id="3"/>
    <tableColumn name="Main Focus" id="4"/>
    <tableColumn name="Learning Outcome" id="5"/>
    <tableColumn name="Study / Learn" id="6"/>
    <tableColumn name="Hands-On Build" id="7"/>
    <tableColumn name="Daily Deliverable" id="8"/>
    <tableColumn name="Primary Tools" id="9"/>
    <tableColumn name="Hours" id="10"/>
    <tableColumn name="Status" id="11"/>
    <tableColumn name="Quiz %" id="12"/>
    <tableColumn name="Notes / Evidence Link" id="13"/>
  </tableColumns>
  <tableStyleInfo name="30-Day Plan-style" showColumnStripes="0" showFirstColumn="1" showLastColumn="1" showRowStripes="1"/>
</table>
</file>

<file path=xl/tables/table2.xml><?xml version="1.0" encoding="utf-8"?>
<table xmlns="http://schemas.openxmlformats.org/spreadsheetml/2006/main" ref="A4:H8" displayName="Table_2" name="Table_2" id="2">
  <tableColumns count="8">
    <tableColumn name="Project" id="1"/>
    <tableColumn name="Business Problem" id="2"/>
    <tableColumn name="Core Workflow" id="3"/>
    <tableColumn name="Required Controls" id="4"/>
    <tableColumn name="Proof / Deliverables" id="5"/>
    <tableColumn name="Success Metrics" id="6"/>
    <tableColumn name="Target Day" id="7"/>
    <tableColumn name="Status" id="8"/>
  </tableColumns>
  <tableStyleInfo name="Portfolio Projects-style" showColumnStripes="0" showFirstColumn="1" showLastColumn="1" showRowStripes="1"/>
</table>
</file>

<file path=xl/tables/table3.xml><?xml version="1.0" encoding="utf-8"?>
<table xmlns="http://schemas.openxmlformats.org/spreadsheetml/2006/main" ref="A4:H18" displayName="Table_3" name="Table_3" id="3">
  <tableColumns count="8">
    <tableColumn name="Category" id="1"/>
    <tableColumn name="Skill" id="2"/>
    <tableColumn name="Target Level" id="3"/>
    <tableColumn name="Current Level" id="4"/>
    <tableColumn name="Gap" id="5"/>
    <tableColumn name="Evidence Required" id="6"/>
    <tableColumn name="Best Practice Days" id="7"/>
    <tableColumn name="Evidence / Link" id="8"/>
  </tableColumns>
  <tableStyleInfo name="Skills Tracker-style" showColumnStripes="0" showFirstColumn="1" showLastColumn="1" showRowStripes="1"/>
</table>
</file>

<file path=xl/tables/table4.xml><?xml version="1.0" encoding="utf-8"?>
<table xmlns="http://schemas.openxmlformats.org/spreadsheetml/2006/main" ref="A4:G14" displayName="Table_4" name="Table_4" id="4">
  <tableColumns count="7">
    <tableColumn name="Area" id="1"/>
    <tableColumn name="Question Before Launch" id="2"/>
    <tableColumn name="Expected Control" id="3"/>
    <tableColumn name="Evidence" id="4"/>
    <tableColumn name="Owner" id="5"/>
    <tableColumn name="Status" id="6"/>
    <tableColumn name="Official Source" id="7"/>
  </tableColumns>
  <tableStyleInfo name="Compliance-style" showColumnStripes="0" showFirstColumn="1" showLastColumn="1" showRowStripes="1"/>
</table>
</file>

<file path=xl/tables/table5.xml><?xml version="1.0" encoding="utf-8"?>
<table xmlns="http://schemas.openxmlformats.org/spreadsheetml/2006/main" ref="A4:F19" displayName="Table_5" name="Table_5" id="5">
  <tableColumns count="6">
    <tableColumn name="#" id="1"/>
    <tableColumn name="Interview Question" id="2"/>
    <tableColumn name="A Strong Answer Must Include" id="3"/>
    <tableColumn name="Your Answer Notes" id="4"/>
    <tableColumn name="Evidence / Project" id="5"/>
    <tableColumn name="Confidence (1–5)" id="6"/>
  </tableColumns>
  <tableStyleInfo name="Interview Prep-style" showColumnStripes="0" showFirstColumn="1" showLastColumn="1" showRowStripes="1"/>
</table>
</file>

<file path=xl/tables/table6.xml><?xml version="1.0" encoding="utf-8"?>
<table xmlns="http://schemas.openxmlformats.org/spreadsheetml/2006/main" ref="A4:E20" displayName="Table_6" name="Table_6" id="6">
  <tableColumns count="5">
    <tableColumn name="Topic" id="1"/>
    <tableColumn name="Resource" id="2"/>
    <tableColumn name="Why It Matters" id="3"/>
    <tableColumn name="Use On Day" id="4"/>
    <tableColumn name="URL" id="5"/>
  </tableColumns>
  <tableStyleInfo name="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0"/>
    <col customWidth="1" min="3" max="3" width="16.0"/>
    <col customWidth="1" min="4" max="7" width="15.0"/>
    <col customWidth="1" min="8" max="8" width="20.0"/>
    <col customWidth="1" min="9" max="26" width="8.6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</row>
    <row r="2" ht="31.5" customHeight="1">
      <c r="A2" s="3" t="s">
        <v>1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>
      <c r="A4" s="6" t="s">
        <v>2</v>
      </c>
      <c r="B4" s="7"/>
      <c r="C4" s="7"/>
      <c r="D4" s="8" t="s">
        <v>3</v>
      </c>
      <c r="F4" s="8" t="s">
        <v>4</v>
      </c>
    </row>
    <row r="5" ht="31.5" customHeight="1">
      <c r="A5" s="9" t="s">
        <v>5</v>
      </c>
      <c r="B5" s="4"/>
      <c r="C5" s="10">
        <v>3.0</v>
      </c>
      <c r="D5" s="11">
        <f>COUNTIF('30-Day Plan'!$K$5:$K$34,"Completed")</f>
        <v>0</v>
      </c>
      <c r="E5" s="4"/>
      <c r="F5" s="12">
        <f>COUNTIF('30-Day Plan'!$K$5:$K$34,"Completed")/COUNTA('30-Day Plan'!$A$5:$A$34)</f>
        <v>0</v>
      </c>
      <c r="G5" s="4"/>
      <c r="H5" s="4"/>
    </row>
    <row r="6" ht="28.5" customHeight="1">
      <c r="A6" s="13" t="s">
        <v>6</v>
      </c>
      <c r="B6" s="14"/>
      <c r="C6" s="15"/>
      <c r="D6" s="8" t="s">
        <v>7</v>
      </c>
      <c r="F6" s="8" t="s">
        <v>8</v>
      </c>
    </row>
    <row r="7" ht="31.5" customHeight="1">
      <c r="A7" s="16" t="s">
        <v>9</v>
      </c>
      <c r="B7" s="17"/>
      <c r="C7" s="18" t="s">
        <v>10</v>
      </c>
      <c r="D7" s="11">
        <f>SUM('30-Day Plan'!$J$5:$J$34)</f>
        <v>90</v>
      </c>
      <c r="E7" s="4"/>
      <c r="F7" s="12">
        <f>IFERROR(AVERAGE('30-Day Plan'!$L$5:$L$34)/100,0)</f>
        <v>0</v>
      </c>
      <c r="G7" s="4"/>
      <c r="H7" s="4"/>
    </row>
    <row r="8">
      <c r="A8" s="5"/>
      <c r="B8" s="5"/>
      <c r="C8" s="5"/>
      <c r="D8" s="5"/>
      <c r="E8" s="5"/>
      <c r="F8" s="5"/>
      <c r="G8" s="5"/>
      <c r="H8" s="5"/>
    </row>
    <row r="9">
      <c r="A9" s="19" t="s">
        <v>11</v>
      </c>
      <c r="B9" s="20"/>
      <c r="C9" s="20"/>
      <c r="D9" s="20"/>
      <c r="E9" s="20"/>
      <c r="F9" s="20"/>
      <c r="G9" s="20"/>
      <c r="H9" s="20"/>
    </row>
    <row r="10" ht="33.75" customHeight="1">
      <c r="A10" s="21" t="s">
        <v>12</v>
      </c>
      <c r="B10" s="4"/>
      <c r="C10" s="22" t="s">
        <v>13</v>
      </c>
      <c r="D10" s="23" t="s">
        <v>14</v>
      </c>
      <c r="E10" s="4"/>
      <c r="F10" s="4"/>
      <c r="G10" s="4"/>
      <c r="H10" s="4"/>
    </row>
    <row r="11" ht="33.75" customHeight="1">
      <c r="A11" s="24" t="s">
        <v>15</v>
      </c>
      <c r="B11" s="4"/>
      <c r="C11" s="25" t="s">
        <v>16</v>
      </c>
      <c r="D11" s="26" t="s">
        <v>17</v>
      </c>
      <c r="E11" s="4"/>
      <c r="F11" s="4"/>
      <c r="G11" s="4"/>
      <c r="H11" s="4"/>
    </row>
    <row r="12" ht="33.75" customHeight="1">
      <c r="A12" s="27" t="s">
        <v>18</v>
      </c>
      <c r="B12" s="4"/>
      <c r="C12" s="28" t="s">
        <v>19</v>
      </c>
      <c r="D12" s="29" t="s">
        <v>20</v>
      </c>
      <c r="E12" s="4"/>
      <c r="F12" s="4"/>
      <c r="G12" s="4"/>
      <c r="H12" s="4"/>
    </row>
    <row r="13" ht="33.75" customHeight="1">
      <c r="A13" s="30" t="s">
        <v>21</v>
      </c>
      <c r="B13" s="4"/>
      <c r="C13" s="31" t="s">
        <v>22</v>
      </c>
      <c r="D13" s="32" t="s">
        <v>23</v>
      </c>
      <c r="E13" s="4"/>
      <c r="F13" s="4"/>
      <c r="G13" s="4"/>
      <c r="H13" s="4"/>
    </row>
    <row r="14" ht="33.75" customHeight="1">
      <c r="A14" s="33" t="s">
        <v>24</v>
      </c>
      <c r="B14" s="4"/>
      <c r="C14" s="34" t="s">
        <v>25</v>
      </c>
      <c r="D14" s="35" t="s">
        <v>26</v>
      </c>
      <c r="E14" s="4"/>
      <c r="F14" s="4"/>
      <c r="G14" s="4"/>
      <c r="H14" s="4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36" t="s">
        <v>27</v>
      </c>
    </row>
    <row r="17" ht="25.5" customHeight="1">
      <c r="A17" s="8" t="s">
        <v>28</v>
      </c>
      <c r="D17" s="8" t="s">
        <v>29</v>
      </c>
      <c r="G17" s="8" t="s">
        <v>30</v>
      </c>
    </row>
    <row r="18" ht="27.75" customHeight="1">
      <c r="A18" s="37" t="s">
        <v>31</v>
      </c>
      <c r="B18" s="17"/>
      <c r="C18" s="38"/>
      <c r="D18" s="37" t="s">
        <v>32</v>
      </c>
      <c r="E18" s="17"/>
      <c r="F18" s="38"/>
      <c r="G18" s="37" t="s">
        <v>33</v>
      </c>
      <c r="H18" s="38"/>
    </row>
    <row r="19" ht="27.75" customHeight="1">
      <c r="A19" s="39"/>
      <c r="B19" s="4"/>
      <c r="C19" s="40"/>
      <c r="D19" s="39"/>
      <c r="E19" s="4"/>
      <c r="F19" s="40"/>
      <c r="G19" s="39"/>
      <c r="H19" s="40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41" t="s">
        <v>34</v>
      </c>
    </row>
    <row r="22" ht="24.75" customHeight="1">
      <c r="A22" s="42" t="s">
        <v>35</v>
      </c>
      <c r="B22" s="4"/>
      <c r="C22" s="4"/>
      <c r="D22" s="4"/>
      <c r="E22" s="4"/>
      <c r="F22" s="4"/>
      <c r="G22" s="4"/>
      <c r="H22" s="4"/>
    </row>
    <row r="23" ht="24.75" customHeight="1">
      <c r="A23" s="43" t="s">
        <v>36</v>
      </c>
      <c r="B23" s="4"/>
      <c r="C23" s="4"/>
      <c r="D23" s="4"/>
      <c r="E23" s="4"/>
      <c r="F23" s="4"/>
      <c r="G23" s="4"/>
      <c r="H23" s="4"/>
    </row>
    <row r="24" ht="24.75" customHeight="1">
      <c r="A24" s="42" t="s">
        <v>37</v>
      </c>
      <c r="B24" s="4"/>
      <c r="C24" s="4"/>
      <c r="D24" s="4"/>
      <c r="E24" s="4"/>
      <c r="F24" s="4"/>
      <c r="G24" s="4"/>
      <c r="H24" s="4"/>
    </row>
    <row r="25" ht="24.75" customHeight="1">
      <c r="A25" s="43" t="s">
        <v>38</v>
      </c>
      <c r="B25" s="4"/>
      <c r="C25" s="4"/>
      <c r="D25" s="4"/>
      <c r="E25" s="4"/>
      <c r="F25" s="4"/>
      <c r="G25" s="4"/>
      <c r="H25" s="4"/>
    </row>
    <row r="26" ht="24.75" customHeight="1">
      <c r="A26" s="42" t="s">
        <v>39</v>
      </c>
      <c r="B26" s="4"/>
      <c r="C26" s="4"/>
      <c r="D26" s="4"/>
      <c r="E26" s="4"/>
      <c r="F26" s="4"/>
      <c r="G26" s="4"/>
      <c r="H26" s="4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25.5" customHeight="1">
      <c r="A28" s="44" t="s">
        <v>40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H1"/>
    <mergeCell ref="A2:H2"/>
    <mergeCell ref="A4:C4"/>
    <mergeCell ref="D4:E4"/>
    <mergeCell ref="F4:H4"/>
    <mergeCell ref="D5:E5"/>
    <mergeCell ref="F5:H5"/>
    <mergeCell ref="A7:B7"/>
    <mergeCell ref="A10:B10"/>
    <mergeCell ref="A11:B11"/>
    <mergeCell ref="A12:B12"/>
    <mergeCell ref="A13:B13"/>
    <mergeCell ref="A14:B14"/>
    <mergeCell ref="A5:B5"/>
    <mergeCell ref="A6:B6"/>
    <mergeCell ref="D6:E6"/>
    <mergeCell ref="F6:H6"/>
    <mergeCell ref="D7:E7"/>
    <mergeCell ref="F7:H7"/>
    <mergeCell ref="A9:H9"/>
    <mergeCell ref="D17:F17"/>
    <mergeCell ref="G17:H17"/>
    <mergeCell ref="D10:H10"/>
    <mergeCell ref="D11:H11"/>
    <mergeCell ref="D12:H12"/>
    <mergeCell ref="D13:H13"/>
    <mergeCell ref="D14:H14"/>
    <mergeCell ref="A16:H16"/>
    <mergeCell ref="A17:C17"/>
    <mergeCell ref="A25:H25"/>
    <mergeCell ref="A26:H26"/>
    <mergeCell ref="A28:H28"/>
    <mergeCell ref="A18:C19"/>
    <mergeCell ref="D18:F19"/>
    <mergeCell ref="G18:H19"/>
    <mergeCell ref="A21:H21"/>
    <mergeCell ref="A22:H22"/>
    <mergeCell ref="A23:H23"/>
    <mergeCell ref="A24:H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4.0"/>
    <col customWidth="1" min="3" max="3" width="22.0"/>
    <col customWidth="1" min="4" max="4" width="25.0"/>
    <col customWidth="1" min="5" max="5" width="34.0"/>
    <col customWidth="1" min="6" max="6" width="40.0"/>
    <col customWidth="1" min="7" max="7" width="44.0"/>
    <col customWidth="1" min="8" max="8" width="34.0"/>
    <col customWidth="1" min="9" max="9" width="24.0"/>
    <col customWidth="1" min="10" max="10" width="9.0"/>
    <col customWidth="1" min="11" max="11" width="14.0"/>
    <col customWidth="1" min="12" max="12" width="10.0"/>
    <col customWidth="1" min="13" max="13" width="30.0"/>
    <col customWidth="1" min="14" max="26" width="8.63"/>
  </cols>
  <sheetData>
    <row r="1" ht="42.0" customHeight="1">
      <c r="A1" s="45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1.5" customHeight="1">
      <c r="A2" s="3" t="s">
        <v>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33.75" customHeight="1">
      <c r="A4" s="46" t="s">
        <v>43</v>
      </c>
      <c r="B4" s="47" t="s">
        <v>44</v>
      </c>
      <c r="C4" s="47" t="s">
        <v>45</v>
      </c>
      <c r="D4" s="47" t="s">
        <v>46</v>
      </c>
      <c r="E4" s="47" t="s">
        <v>47</v>
      </c>
      <c r="F4" s="47" t="s">
        <v>48</v>
      </c>
      <c r="G4" s="47" t="s">
        <v>49</v>
      </c>
      <c r="H4" s="47" t="s">
        <v>50</v>
      </c>
      <c r="I4" s="47" t="s">
        <v>51</v>
      </c>
      <c r="J4" s="47" t="s">
        <v>52</v>
      </c>
      <c r="K4" s="47" t="s">
        <v>53</v>
      </c>
      <c r="L4" s="47" t="s">
        <v>54</v>
      </c>
      <c r="M4" s="48" t="s">
        <v>55</v>
      </c>
    </row>
    <row r="5" ht="81.75" customHeight="1">
      <c r="A5" s="49">
        <v>1.0</v>
      </c>
      <c r="B5" s="50" t="str">
        <f>IF('Start Here'!$C$6="","",'Start Here'!$C$6+A5-1)</f>
        <v/>
      </c>
      <c r="C5" s="51" t="s">
        <v>56</v>
      </c>
      <c r="D5" s="52" t="s">
        <v>57</v>
      </c>
      <c r="E5" s="52" t="s">
        <v>58</v>
      </c>
      <c r="F5" s="52" t="s">
        <v>59</v>
      </c>
      <c r="G5" s="52" t="s">
        <v>60</v>
      </c>
      <c r="H5" s="52" t="s">
        <v>61</v>
      </c>
      <c r="I5" s="52" t="s">
        <v>62</v>
      </c>
      <c r="J5" s="53">
        <v>3.0</v>
      </c>
      <c r="K5" s="54" t="s">
        <v>63</v>
      </c>
      <c r="L5" s="55"/>
      <c r="M5" s="56"/>
    </row>
    <row r="6" ht="81.75" customHeight="1">
      <c r="A6" s="57">
        <v>2.0</v>
      </c>
      <c r="B6" s="58" t="str">
        <f>IF('Start Here'!$C$6="","",'Start Here'!$C$6+A6-1)</f>
        <v/>
      </c>
      <c r="C6" s="59" t="s">
        <v>56</v>
      </c>
      <c r="D6" s="60" t="s">
        <v>64</v>
      </c>
      <c r="E6" s="60" t="s">
        <v>65</v>
      </c>
      <c r="F6" s="60" t="s">
        <v>66</v>
      </c>
      <c r="G6" s="60" t="s">
        <v>67</v>
      </c>
      <c r="H6" s="60" t="s">
        <v>68</v>
      </c>
      <c r="I6" s="60" t="s">
        <v>69</v>
      </c>
      <c r="J6" s="61">
        <v>3.0</v>
      </c>
      <c r="K6" s="62" t="s">
        <v>63</v>
      </c>
      <c r="L6" s="63"/>
      <c r="M6" s="64"/>
    </row>
    <row r="7" ht="81.75" customHeight="1">
      <c r="A7" s="57">
        <v>3.0</v>
      </c>
      <c r="B7" s="58" t="str">
        <f>IF('Start Here'!$C$6="","",'Start Here'!$C$6+A7-1)</f>
        <v/>
      </c>
      <c r="C7" s="59" t="s">
        <v>56</v>
      </c>
      <c r="D7" s="60" t="s">
        <v>70</v>
      </c>
      <c r="E7" s="60" t="s">
        <v>71</v>
      </c>
      <c r="F7" s="60" t="s">
        <v>72</v>
      </c>
      <c r="G7" s="60" t="s">
        <v>73</v>
      </c>
      <c r="H7" s="60" t="s">
        <v>74</v>
      </c>
      <c r="I7" s="60" t="s">
        <v>75</v>
      </c>
      <c r="J7" s="61">
        <v>3.0</v>
      </c>
      <c r="K7" s="62" t="s">
        <v>63</v>
      </c>
      <c r="L7" s="63"/>
      <c r="M7" s="64"/>
    </row>
    <row r="8" ht="81.75" customHeight="1">
      <c r="A8" s="57">
        <v>4.0</v>
      </c>
      <c r="B8" s="58" t="str">
        <f>IF('Start Here'!$C$6="","",'Start Here'!$C$6+A8-1)</f>
        <v/>
      </c>
      <c r="C8" s="59" t="s">
        <v>56</v>
      </c>
      <c r="D8" s="60" t="s">
        <v>76</v>
      </c>
      <c r="E8" s="60" t="s">
        <v>77</v>
      </c>
      <c r="F8" s="60" t="s">
        <v>78</v>
      </c>
      <c r="G8" s="60" t="s">
        <v>79</v>
      </c>
      <c r="H8" s="60" t="s">
        <v>80</v>
      </c>
      <c r="I8" s="60" t="s">
        <v>81</v>
      </c>
      <c r="J8" s="61">
        <v>3.0</v>
      </c>
      <c r="K8" s="62" t="s">
        <v>63</v>
      </c>
      <c r="L8" s="63"/>
      <c r="M8" s="64"/>
    </row>
    <row r="9" ht="81.75" customHeight="1">
      <c r="A9" s="57">
        <v>5.0</v>
      </c>
      <c r="B9" s="58" t="str">
        <f>IF('Start Here'!$C$6="","",'Start Here'!$C$6+A9-1)</f>
        <v/>
      </c>
      <c r="C9" s="59" t="s">
        <v>56</v>
      </c>
      <c r="D9" s="60" t="s">
        <v>82</v>
      </c>
      <c r="E9" s="60" t="s">
        <v>83</v>
      </c>
      <c r="F9" s="60" t="s">
        <v>84</v>
      </c>
      <c r="G9" s="60" t="s">
        <v>85</v>
      </c>
      <c r="H9" s="60" t="s">
        <v>86</v>
      </c>
      <c r="I9" s="60" t="s">
        <v>87</v>
      </c>
      <c r="J9" s="61">
        <v>3.0</v>
      </c>
      <c r="K9" s="62" t="s">
        <v>63</v>
      </c>
      <c r="L9" s="63"/>
      <c r="M9" s="64"/>
    </row>
    <row r="10" ht="81.75" customHeight="1">
      <c r="A10" s="57">
        <v>6.0</v>
      </c>
      <c r="B10" s="58" t="str">
        <f>IF('Start Here'!$C$6="","",'Start Here'!$C$6+A10-1)</f>
        <v/>
      </c>
      <c r="C10" s="59" t="s">
        <v>56</v>
      </c>
      <c r="D10" s="60" t="s">
        <v>88</v>
      </c>
      <c r="E10" s="60" t="s">
        <v>89</v>
      </c>
      <c r="F10" s="60" t="s">
        <v>90</v>
      </c>
      <c r="G10" s="60" t="s">
        <v>91</v>
      </c>
      <c r="H10" s="60" t="s">
        <v>92</v>
      </c>
      <c r="I10" s="60" t="s">
        <v>93</v>
      </c>
      <c r="J10" s="61">
        <v>3.0</v>
      </c>
      <c r="K10" s="62" t="s">
        <v>63</v>
      </c>
      <c r="L10" s="63"/>
      <c r="M10" s="64"/>
    </row>
    <row r="11" ht="81.75" customHeight="1">
      <c r="A11" s="65">
        <v>7.0</v>
      </c>
      <c r="B11" s="66" t="str">
        <f>IF('Start Here'!$C$6="","",'Start Here'!$C$6+A11-1)</f>
        <v/>
      </c>
      <c r="C11" s="67" t="s">
        <v>56</v>
      </c>
      <c r="D11" s="68" t="s">
        <v>94</v>
      </c>
      <c r="E11" s="68" t="s">
        <v>95</v>
      </c>
      <c r="F11" s="68" t="s">
        <v>96</v>
      </c>
      <c r="G11" s="68" t="s">
        <v>97</v>
      </c>
      <c r="H11" s="68" t="s">
        <v>98</v>
      </c>
      <c r="I11" s="68" t="s">
        <v>99</v>
      </c>
      <c r="J11" s="69">
        <v>3.0</v>
      </c>
      <c r="K11" s="62" t="s">
        <v>63</v>
      </c>
      <c r="L11" s="63"/>
      <c r="M11" s="64"/>
    </row>
    <row r="12" ht="81.75" customHeight="1">
      <c r="A12" s="70">
        <v>8.0</v>
      </c>
      <c r="B12" s="71" t="str">
        <f>IF('Start Here'!$C$6="","",'Start Here'!$C$6+A12-1)</f>
        <v/>
      </c>
      <c r="C12" s="72" t="s">
        <v>100</v>
      </c>
      <c r="D12" s="52" t="s">
        <v>101</v>
      </c>
      <c r="E12" s="52" t="s">
        <v>102</v>
      </c>
      <c r="F12" s="52" t="s">
        <v>103</v>
      </c>
      <c r="G12" s="52" t="s">
        <v>104</v>
      </c>
      <c r="H12" s="52" t="s">
        <v>105</v>
      </c>
      <c r="I12" s="52" t="s">
        <v>106</v>
      </c>
      <c r="J12" s="53">
        <v>3.0</v>
      </c>
      <c r="K12" s="54" t="s">
        <v>63</v>
      </c>
      <c r="L12" s="55"/>
      <c r="M12" s="56"/>
    </row>
    <row r="13" ht="81.75" customHeight="1">
      <c r="A13" s="73">
        <v>9.0</v>
      </c>
      <c r="B13" s="74" t="str">
        <f>IF('Start Here'!$C$6="","",'Start Here'!$C$6+A13-1)</f>
        <v/>
      </c>
      <c r="C13" s="75" t="s">
        <v>100</v>
      </c>
      <c r="D13" s="60" t="s">
        <v>107</v>
      </c>
      <c r="E13" s="60" t="s">
        <v>108</v>
      </c>
      <c r="F13" s="60" t="s">
        <v>109</v>
      </c>
      <c r="G13" s="60" t="s">
        <v>110</v>
      </c>
      <c r="H13" s="60" t="s">
        <v>111</v>
      </c>
      <c r="I13" s="60" t="s">
        <v>112</v>
      </c>
      <c r="J13" s="61">
        <v>3.0</v>
      </c>
      <c r="K13" s="62" t="s">
        <v>63</v>
      </c>
      <c r="L13" s="63"/>
      <c r="M13" s="64"/>
    </row>
    <row r="14" ht="81.75" customHeight="1">
      <c r="A14" s="73">
        <v>10.0</v>
      </c>
      <c r="B14" s="74" t="str">
        <f>IF('Start Here'!$C$6="","",'Start Here'!$C$6+A14-1)</f>
        <v/>
      </c>
      <c r="C14" s="75" t="s">
        <v>100</v>
      </c>
      <c r="D14" s="60" t="s">
        <v>113</v>
      </c>
      <c r="E14" s="60" t="s">
        <v>114</v>
      </c>
      <c r="F14" s="60" t="s">
        <v>115</v>
      </c>
      <c r="G14" s="60" t="s">
        <v>116</v>
      </c>
      <c r="H14" s="60" t="s">
        <v>117</v>
      </c>
      <c r="I14" s="60" t="s">
        <v>118</v>
      </c>
      <c r="J14" s="61">
        <v>3.0</v>
      </c>
      <c r="K14" s="62" t="s">
        <v>63</v>
      </c>
      <c r="L14" s="63"/>
      <c r="M14" s="64"/>
    </row>
    <row r="15" ht="81.75" customHeight="1">
      <c r="A15" s="73">
        <v>11.0</v>
      </c>
      <c r="B15" s="74" t="str">
        <f>IF('Start Here'!$C$6="","",'Start Here'!$C$6+A15-1)</f>
        <v/>
      </c>
      <c r="C15" s="75" t="s">
        <v>100</v>
      </c>
      <c r="D15" s="60" t="s">
        <v>119</v>
      </c>
      <c r="E15" s="60" t="s">
        <v>120</v>
      </c>
      <c r="F15" s="60" t="s">
        <v>121</v>
      </c>
      <c r="G15" s="60" t="s">
        <v>122</v>
      </c>
      <c r="H15" s="60" t="s">
        <v>123</v>
      </c>
      <c r="I15" s="60" t="s">
        <v>124</v>
      </c>
      <c r="J15" s="61">
        <v>3.0</v>
      </c>
      <c r="K15" s="62" t="s">
        <v>63</v>
      </c>
      <c r="L15" s="63"/>
      <c r="M15" s="64"/>
    </row>
    <row r="16" ht="81.75" customHeight="1">
      <c r="A16" s="76">
        <v>12.0</v>
      </c>
      <c r="B16" s="77" t="str">
        <f>IF('Start Here'!$C$6="","",'Start Here'!$C$6+A16-1)</f>
        <v/>
      </c>
      <c r="C16" s="78" t="s">
        <v>100</v>
      </c>
      <c r="D16" s="68" t="s">
        <v>125</v>
      </c>
      <c r="E16" s="68" t="s">
        <v>126</v>
      </c>
      <c r="F16" s="68" t="s">
        <v>127</v>
      </c>
      <c r="G16" s="68" t="s">
        <v>128</v>
      </c>
      <c r="H16" s="68" t="s">
        <v>129</v>
      </c>
      <c r="I16" s="68" t="s">
        <v>130</v>
      </c>
      <c r="J16" s="69">
        <v>3.0</v>
      </c>
      <c r="K16" s="62" t="s">
        <v>63</v>
      </c>
      <c r="L16" s="63"/>
      <c r="M16" s="64"/>
    </row>
    <row r="17" ht="81.75" customHeight="1">
      <c r="A17" s="73">
        <v>13.0</v>
      </c>
      <c r="B17" s="74" t="str">
        <f>IF('Start Here'!$C$6="","",'Start Here'!$C$6+A17-1)</f>
        <v/>
      </c>
      <c r="C17" s="75" t="s">
        <v>100</v>
      </c>
      <c r="D17" s="60" t="s">
        <v>131</v>
      </c>
      <c r="E17" s="60" t="s">
        <v>132</v>
      </c>
      <c r="F17" s="60" t="s">
        <v>133</v>
      </c>
      <c r="G17" s="60" t="s">
        <v>134</v>
      </c>
      <c r="H17" s="60" t="s">
        <v>135</v>
      </c>
      <c r="I17" s="60" t="s">
        <v>136</v>
      </c>
      <c r="J17" s="61">
        <v>3.0</v>
      </c>
      <c r="K17" s="62" t="s">
        <v>63</v>
      </c>
      <c r="L17" s="63"/>
      <c r="M17" s="64"/>
    </row>
    <row r="18" ht="81.75" customHeight="1">
      <c r="A18" s="73">
        <v>14.0</v>
      </c>
      <c r="B18" s="74" t="str">
        <f>IF('Start Here'!$C$6="","",'Start Here'!$C$6+A18-1)</f>
        <v/>
      </c>
      <c r="C18" s="75" t="s">
        <v>100</v>
      </c>
      <c r="D18" s="60" t="s">
        <v>137</v>
      </c>
      <c r="E18" s="60" t="s">
        <v>138</v>
      </c>
      <c r="F18" s="60" t="s">
        <v>139</v>
      </c>
      <c r="G18" s="60" t="s">
        <v>140</v>
      </c>
      <c r="H18" s="60" t="s">
        <v>141</v>
      </c>
      <c r="I18" s="60" t="s">
        <v>142</v>
      </c>
      <c r="J18" s="61">
        <v>3.0</v>
      </c>
      <c r="K18" s="62" t="s">
        <v>63</v>
      </c>
      <c r="L18" s="63"/>
      <c r="M18" s="64"/>
    </row>
    <row r="19" ht="81.75" customHeight="1">
      <c r="A19" s="70">
        <v>15.0</v>
      </c>
      <c r="B19" s="71" t="str">
        <f>IF('Start Here'!$C$6="","",'Start Here'!$C$6+A19-1)</f>
        <v/>
      </c>
      <c r="C19" s="72" t="s">
        <v>100</v>
      </c>
      <c r="D19" s="52" t="s">
        <v>143</v>
      </c>
      <c r="E19" s="52" t="s">
        <v>144</v>
      </c>
      <c r="F19" s="52" t="s">
        <v>145</v>
      </c>
      <c r="G19" s="52" t="s">
        <v>146</v>
      </c>
      <c r="H19" s="52" t="s">
        <v>147</v>
      </c>
      <c r="I19" s="52" t="s">
        <v>148</v>
      </c>
      <c r="J19" s="53">
        <v>3.0</v>
      </c>
      <c r="K19" s="54" t="s">
        <v>63</v>
      </c>
      <c r="L19" s="55"/>
      <c r="M19" s="56"/>
    </row>
    <row r="20" ht="81.75" customHeight="1">
      <c r="A20" s="79">
        <v>16.0</v>
      </c>
      <c r="B20" s="80" t="str">
        <f>IF('Start Here'!$C$6="","",'Start Here'!$C$6+A20-1)</f>
        <v/>
      </c>
      <c r="C20" s="81" t="s">
        <v>149</v>
      </c>
      <c r="D20" s="60" t="s">
        <v>150</v>
      </c>
      <c r="E20" s="60" t="s">
        <v>151</v>
      </c>
      <c r="F20" s="60" t="s">
        <v>152</v>
      </c>
      <c r="G20" s="60" t="s">
        <v>153</v>
      </c>
      <c r="H20" s="60" t="s">
        <v>154</v>
      </c>
      <c r="I20" s="60" t="s">
        <v>155</v>
      </c>
      <c r="J20" s="61">
        <v>3.0</v>
      </c>
      <c r="K20" s="62" t="s">
        <v>63</v>
      </c>
      <c r="L20" s="63"/>
      <c r="M20" s="64"/>
    </row>
    <row r="21" ht="81.75" customHeight="1">
      <c r="A21" s="79">
        <v>17.0</v>
      </c>
      <c r="B21" s="80" t="str">
        <f>IF('Start Here'!$C$6="","",'Start Here'!$C$6+A21-1)</f>
        <v/>
      </c>
      <c r="C21" s="81" t="s">
        <v>149</v>
      </c>
      <c r="D21" s="60" t="s">
        <v>156</v>
      </c>
      <c r="E21" s="60" t="s">
        <v>157</v>
      </c>
      <c r="F21" s="60" t="s">
        <v>158</v>
      </c>
      <c r="G21" s="60" t="s">
        <v>159</v>
      </c>
      <c r="H21" s="60" t="s">
        <v>160</v>
      </c>
      <c r="I21" s="60" t="s">
        <v>161</v>
      </c>
      <c r="J21" s="61">
        <v>3.0</v>
      </c>
      <c r="K21" s="62" t="s">
        <v>63</v>
      </c>
      <c r="L21" s="63"/>
      <c r="M21" s="64"/>
    </row>
    <row r="22" ht="81.75" customHeight="1">
      <c r="A22" s="79">
        <v>18.0</v>
      </c>
      <c r="B22" s="80" t="str">
        <f>IF('Start Here'!$C$6="","",'Start Here'!$C$6+A22-1)</f>
        <v/>
      </c>
      <c r="C22" s="81" t="s">
        <v>149</v>
      </c>
      <c r="D22" s="60" t="s">
        <v>162</v>
      </c>
      <c r="E22" s="60" t="s">
        <v>163</v>
      </c>
      <c r="F22" s="60" t="s">
        <v>164</v>
      </c>
      <c r="G22" s="60" t="s">
        <v>165</v>
      </c>
      <c r="H22" s="60" t="s">
        <v>166</v>
      </c>
      <c r="I22" s="60" t="s">
        <v>167</v>
      </c>
      <c r="J22" s="61">
        <v>3.0</v>
      </c>
      <c r="K22" s="62" t="s">
        <v>63</v>
      </c>
      <c r="L22" s="63"/>
      <c r="M22" s="64"/>
    </row>
    <row r="23" ht="81.75" customHeight="1">
      <c r="A23" s="79">
        <v>19.0</v>
      </c>
      <c r="B23" s="80" t="str">
        <f>IF('Start Here'!$C$6="","",'Start Here'!$C$6+A23-1)</f>
        <v/>
      </c>
      <c r="C23" s="81" t="s">
        <v>149</v>
      </c>
      <c r="D23" s="60" t="s">
        <v>168</v>
      </c>
      <c r="E23" s="60" t="s">
        <v>169</v>
      </c>
      <c r="F23" s="60" t="s">
        <v>170</v>
      </c>
      <c r="G23" s="60" t="s">
        <v>171</v>
      </c>
      <c r="H23" s="60" t="s">
        <v>172</v>
      </c>
      <c r="I23" s="60" t="s">
        <v>173</v>
      </c>
      <c r="J23" s="61">
        <v>3.0</v>
      </c>
      <c r="K23" s="62" t="s">
        <v>63</v>
      </c>
      <c r="L23" s="63"/>
      <c r="M23" s="64"/>
    </row>
    <row r="24" ht="81.75" customHeight="1">
      <c r="A24" s="82">
        <v>20.0</v>
      </c>
      <c r="B24" s="83" t="str">
        <f>IF('Start Here'!$C$6="","",'Start Here'!$C$6+A24-1)</f>
        <v/>
      </c>
      <c r="C24" s="84" t="s">
        <v>149</v>
      </c>
      <c r="D24" s="68" t="s">
        <v>174</v>
      </c>
      <c r="E24" s="68" t="s">
        <v>175</v>
      </c>
      <c r="F24" s="68" t="s">
        <v>176</v>
      </c>
      <c r="G24" s="68" t="s">
        <v>177</v>
      </c>
      <c r="H24" s="68" t="s">
        <v>178</v>
      </c>
      <c r="I24" s="68" t="s">
        <v>179</v>
      </c>
      <c r="J24" s="69">
        <v>3.0</v>
      </c>
      <c r="K24" s="62" t="s">
        <v>63</v>
      </c>
      <c r="L24" s="63"/>
      <c r="M24" s="64"/>
    </row>
    <row r="25" ht="81.75" customHeight="1">
      <c r="A25" s="85">
        <v>21.0</v>
      </c>
      <c r="B25" s="86" t="str">
        <f>IF('Start Here'!$C$6="","",'Start Here'!$C$6+A25-1)</f>
        <v/>
      </c>
      <c r="C25" s="87" t="s">
        <v>180</v>
      </c>
      <c r="D25" s="60" t="s">
        <v>181</v>
      </c>
      <c r="E25" s="60" t="s">
        <v>182</v>
      </c>
      <c r="F25" s="60" t="s">
        <v>183</v>
      </c>
      <c r="G25" s="60" t="s">
        <v>184</v>
      </c>
      <c r="H25" s="60" t="s">
        <v>185</v>
      </c>
      <c r="I25" s="60" t="s">
        <v>186</v>
      </c>
      <c r="J25" s="61">
        <v>3.0</v>
      </c>
      <c r="K25" s="62" t="s">
        <v>63</v>
      </c>
      <c r="L25" s="63"/>
      <c r="M25" s="64"/>
    </row>
    <row r="26" ht="81.75" customHeight="1">
      <c r="A26" s="88">
        <v>22.0</v>
      </c>
      <c r="B26" s="89" t="str">
        <f>IF('Start Here'!$C$6="","",'Start Here'!$C$6+A26-1)</f>
        <v/>
      </c>
      <c r="C26" s="90" t="s">
        <v>180</v>
      </c>
      <c r="D26" s="52" t="s">
        <v>187</v>
      </c>
      <c r="E26" s="52" t="s">
        <v>188</v>
      </c>
      <c r="F26" s="52" t="s">
        <v>189</v>
      </c>
      <c r="G26" s="52" t="s">
        <v>190</v>
      </c>
      <c r="H26" s="52" t="s">
        <v>191</v>
      </c>
      <c r="I26" s="52" t="s">
        <v>192</v>
      </c>
      <c r="J26" s="53">
        <v>3.0</v>
      </c>
      <c r="K26" s="54" t="s">
        <v>63</v>
      </c>
      <c r="L26" s="55"/>
      <c r="M26" s="56"/>
    </row>
    <row r="27" ht="81.75" customHeight="1">
      <c r="A27" s="85">
        <v>23.0</v>
      </c>
      <c r="B27" s="86" t="str">
        <f>IF('Start Here'!$C$6="","",'Start Here'!$C$6+A27-1)</f>
        <v/>
      </c>
      <c r="C27" s="87" t="s">
        <v>180</v>
      </c>
      <c r="D27" s="60" t="s">
        <v>193</v>
      </c>
      <c r="E27" s="60" t="s">
        <v>194</v>
      </c>
      <c r="F27" s="60" t="s">
        <v>195</v>
      </c>
      <c r="G27" s="60" t="s">
        <v>196</v>
      </c>
      <c r="H27" s="60" t="s">
        <v>197</v>
      </c>
      <c r="I27" s="60" t="s">
        <v>198</v>
      </c>
      <c r="J27" s="61">
        <v>3.0</v>
      </c>
      <c r="K27" s="62" t="s">
        <v>63</v>
      </c>
      <c r="L27" s="63"/>
      <c r="M27" s="64"/>
    </row>
    <row r="28" ht="81.75" customHeight="1">
      <c r="A28" s="85">
        <v>24.0</v>
      </c>
      <c r="B28" s="86" t="str">
        <f>IF('Start Here'!$C$6="","",'Start Here'!$C$6+A28-1)</f>
        <v/>
      </c>
      <c r="C28" s="87" t="s">
        <v>180</v>
      </c>
      <c r="D28" s="60" t="s">
        <v>199</v>
      </c>
      <c r="E28" s="60" t="s">
        <v>200</v>
      </c>
      <c r="F28" s="60" t="s">
        <v>201</v>
      </c>
      <c r="G28" s="60" t="s">
        <v>202</v>
      </c>
      <c r="H28" s="60" t="s">
        <v>203</v>
      </c>
      <c r="I28" s="60" t="s">
        <v>204</v>
      </c>
      <c r="J28" s="61">
        <v>3.0</v>
      </c>
      <c r="K28" s="62" t="s">
        <v>63</v>
      </c>
      <c r="L28" s="63"/>
      <c r="M28" s="64"/>
    </row>
    <row r="29" ht="81.75" customHeight="1">
      <c r="A29" s="85">
        <v>25.0</v>
      </c>
      <c r="B29" s="86" t="str">
        <f>IF('Start Here'!$C$6="","",'Start Here'!$C$6+A29-1)</f>
        <v/>
      </c>
      <c r="C29" s="87" t="s">
        <v>180</v>
      </c>
      <c r="D29" s="60" t="s">
        <v>205</v>
      </c>
      <c r="E29" s="60" t="s">
        <v>206</v>
      </c>
      <c r="F29" s="60" t="s">
        <v>207</v>
      </c>
      <c r="G29" s="60" t="s">
        <v>208</v>
      </c>
      <c r="H29" s="60" t="s">
        <v>209</v>
      </c>
      <c r="I29" s="60" t="s">
        <v>210</v>
      </c>
      <c r="J29" s="61">
        <v>3.0</v>
      </c>
      <c r="K29" s="62" t="s">
        <v>63</v>
      </c>
      <c r="L29" s="63"/>
      <c r="M29" s="64"/>
    </row>
    <row r="30" ht="81.75" customHeight="1">
      <c r="A30" s="85">
        <v>26.0</v>
      </c>
      <c r="B30" s="86" t="str">
        <f>IF('Start Here'!$C$6="","",'Start Here'!$C$6+A30-1)</f>
        <v/>
      </c>
      <c r="C30" s="87" t="s">
        <v>180</v>
      </c>
      <c r="D30" s="60" t="s">
        <v>211</v>
      </c>
      <c r="E30" s="60" t="s">
        <v>212</v>
      </c>
      <c r="F30" s="60" t="s">
        <v>213</v>
      </c>
      <c r="G30" s="60" t="s">
        <v>214</v>
      </c>
      <c r="H30" s="60" t="s">
        <v>215</v>
      </c>
      <c r="I30" s="60" t="s">
        <v>216</v>
      </c>
      <c r="J30" s="61">
        <v>3.0</v>
      </c>
      <c r="K30" s="62" t="s">
        <v>63</v>
      </c>
      <c r="L30" s="63"/>
      <c r="M30" s="64"/>
    </row>
    <row r="31" ht="81.75" customHeight="1">
      <c r="A31" s="91">
        <v>27.0</v>
      </c>
      <c r="B31" s="92" t="str">
        <f>IF('Start Here'!$C$6="","",'Start Here'!$C$6+A31-1)</f>
        <v/>
      </c>
      <c r="C31" s="93" t="s">
        <v>217</v>
      </c>
      <c r="D31" s="68" t="s">
        <v>218</v>
      </c>
      <c r="E31" s="68" t="s">
        <v>219</v>
      </c>
      <c r="F31" s="68" t="s">
        <v>220</v>
      </c>
      <c r="G31" s="68" t="s">
        <v>221</v>
      </c>
      <c r="H31" s="68" t="s">
        <v>222</v>
      </c>
      <c r="I31" s="68" t="s">
        <v>223</v>
      </c>
      <c r="J31" s="69">
        <v>3.0</v>
      </c>
      <c r="K31" s="62" t="s">
        <v>63</v>
      </c>
      <c r="L31" s="63"/>
      <c r="M31" s="64"/>
    </row>
    <row r="32" ht="81.75" customHeight="1">
      <c r="A32" s="91">
        <v>28.0</v>
      </c>
      <c r="B32" s="92" t="str">
        <f>IF('Start Here'!$C$6="","",'Start Here'!$C$6+A32-1)</f>
        <v/>
      </c>
      <c r="C32" s="93" t="s">
        <v>217</v>
      </c>
      <c r="D32" s="68" t="s">
        <v>224</v>
      </c>
      <c r="E32" s="68" t="s">
        <v>225</v>
      </c>
      <c r="F32" s="68" t="s">
        <v>226</v>
      </c>
      <c r="G32" s="68" t="s">
        <v>227</v>
      </c>
      <c r="H32" s="68" t="s">
        <v>228</v>
      </c>
      <c r="I32" s="68" t="s">
        <v>223</v>
      </c>
      <c r="J32" s="69">
        <v>3.0</v>
      </c>
      <c r="K32" s="62" t="s">
        <v>63</v>
      </c>
      <c r="L32" s="63"/>
      <c r="M32" s="64"/>
    </row>
    <row r="33" ht="81.75" customHeight="1">
      <c r="A33" s="94">
        <v>29.0</v>
      </c>
      <c r="B33" s="95" t="str">
        <f>IF('Start Here'!$C$6="","",'Start Here'!$C$6+A33-1)</f>
        <v/>
      </c>
      <c r="C33" s="96" t="s">
        <v>217</v>
      </c>
      <c r="D33" s="97" t="s">
        <v>229</v>
      </c>
      <c r="E33" s="97" t="s">
        <v>230</v>
      </c>
      <c r="F33" s="97" t="s">
        <v>231</v>
      </c>
      <c r="G33" s="97" t="s">
        <v>232</v>
      </c>
      <c r="H33" s="97" t="s">
        <v>233</v>
      </c>
      <c r="I33" s="97" t="s">
        <v>234</v>
      </c>
      <c r="J33" s="98">
        <v>3.0</v>
      </c>
      <c r="K33" s="99" t="s">
        <v>63</v>
      </c>
      <c r="L33" s="100"/>
      <c r="M33" s="101"/>
    </row>
    <row r="34" ht="81.75" customHeight="1">
      <c r="A34" s="91">
        <v>30.0</v>
      </c>
      <c r="B34" s="92" t="str">
        <f>IF('Start Here'!$C$6="","",'Start Here'!$C$6+A34-1)</f>
        <v/>
      </c>
      <c r="C34" s="93" t="s">
        <v>217</v>
      </c>
      <c r="D34" s="68" t="s">
        <v>235</v>
      </c>
      <c r="E34" s="68" t="s">
        <v>236</v>
      </c>
      <c r="F34" s="68" t="s">
        <v>237</v>
      </c>
      <c r="G34" s="68" t="s">
        <v>238</v>
      </c>
      <c r="H34" s="68" t="s">
        <v>239</v>
      </c>
      <c r="I34" s="68" t="s">
        <v>240</v>
      </c>
      <c r="J34" s="69">
        <v>3.0</v>
      </c>
      <c r="K34" s="102" t="s">
        <v>63</v>
      </c>
      <c r="L34" s="103"/>
      <c r="M34" s="10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K5:K34">
    <cfRule type="containsText" dxfId="3" priority="1" operator="containsText" text="Completed">
      <formula>NOT(ISERROR(SEARCH(("Completed"),(K5))))</formula>
    </cfRule>
  </conditionalFormatting>
  <conditionalFormatting sqref="K5:K34">
    <cfRule type="containsText" dxfId="4" priority="2" operator="containsText" text="Blocked">
      <formula>NOT(ISERROR(SEARCH(("Blocked"),(K5))))</formula>
    </cfRule>
  </conditionalFormatting>
  <conditionalFormatting sqref="K5:K34">
    <cfRule type="containsText" dxfId="5" priority="3" operator="containsText" text="In Progress">
      <formula>NOT(ISERROR(SEARCH(("In Progress"),(K5))))</formula>
    </cfRule>
  </conditionalFormatting>
  <conditionalFormatting sqref="L5:L34">
    <cfRule type="colorScale" priority="4">
      <colorScale>
        <cfvo type="min"/>
        <cfvo type="percentile" val="50"/>
        <cfvo type="max"/>
        <color rgb="FFFCEDEA"/>
        <color rgb="FFFFF7E1"/>
        <color rgb="FFEAF6EE"/>
      </colorScale>
    </cfRule>
  </conditionalFormatting>
  <dataValidations>
    <dataValidation type="decimal" allowBlank="1" sqref="L5:L34">
      <formula1>0.0</formula1>
      <formula2>100.0</formula2>
    </dataValidation>
    <dataValidation type="list" allowBlank="1" sqref="K5:K34">
      <formula1>"Not Started,In Progress,Blocked,Completed"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3" width="44.0"/>
    <col customWidth="1" min="4" max="4" width="42.0"/>
    <col customWidth="1" min="5" max="5" width="38.0"/>
    <col customWidth="1" min="6" max="6" width="36.0"/>
    <col customWidth="1" min="7" max="7" width="12.0"/>
    <col customWidth="1" min="8" max="8" width="14.0"/>
    <col customWidth="1" min="9" max="26" width="8.63"/>
  </cols>
  <sheetData>
    <row r="1" ht="42.0" customHeight="1">
      <c r="A1" s="45" t="s">
        <v>241</v>
      </c>
      <c r="B1" s="2"/>
      <c r="C1" s="2"/>
      <c r="D1" s="2"/>
      <c r="E1" s="2"/>
      <c r="F1" s="2"/>
      <c r="G1" s="2"/>
      <c r="H1" s="2"/>
    </row>
    <row r="2" ht="31.5" customHeight="1">
      <c r="A2" s="3" t="s">
        <v>242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 ht="33.75" customHeight="1">
      <c r="A4" s="46" t="s">
        <v>243</v>
      </c>
      <c r="B4" s="47" t="s">
        <v>244</v>
      </c>
      <c r="C4" s="47" t="s">
        <v>245</v>
      </c>
      <c r="D4" s="47" t="s">
        <v>246</v>
      </c>
      <c r="E4" s="47" t="s">
        <v>247</v>
      </c>
      <c r="F4" s="47" t="s">
        <v>248</v>
      </c>
      <c r="G4" s="47" t="s">
        <v>249</v>
      </c>
      <c r="H4" s="48" t="s">
        <v>53</v>
      </c>
    </row>
    <row r="5" ht="102.0" customHeight="1">
      <c r="A5" s="105" t="s">
        <v>250</v>
      </c>
      <c r="B5" s="106" t="s">
        <v>251</v>
      </c>
      <c r="C5" s="106" t="s">
        <v>252</v>
      </c>
      <c r="D5" s="106" t="s">
        <v>253</v>
      </c>
      <c r="E5" s="106" t="s">
        <v>254</v>
      </c>
      <c r="F5" s="106" t="s">
        <v>255</v>
      </c>
      <c r="G5" s="107">
        <v>7.0</v>
      </c>
      <c r="H5" s="108" t="s">
        <v>63</v>
      </c>
    </row>
    <row r="6" ht="102.0" customHeight="1">
      <c r="A6" s="109" t="s">
        <v>256</v>
      </c>
      <c r="B6" s="110" t="s">
        <v>257</v>
      </c>
      <c r="C6" s="110" t="s">
        <v>258</v>
      </c>
      <c r="D6" s="110" t="s">
        <v>259</v>
      </c>
      <c r="E6" s="110" t="s">
        <v>260</v>
      </c>
      <c r="F6" s="110" t="s">
        <v>261</v>
      </c>
      <c r="G6" s="111">
        <v>12.0</v>
      </c>
      <c r="H6" s="112" t="s">
        <v>63</v>
      </c>
    </row>
    <row r="7" ht="102.0" customHeight="1">
      <c r="A7" s="113" t="s">
        <v>262</v>
      </c>
      <c r="B7" s="114" t="s">
        <v>263</v>
      </c>
      <c r="C7" s="114" t="s">
        <v>264</v>
      </c>
      <c r="D7" s="114" t="s">
        <v>265</v>
      </c>
      <c r="E7" s="114" t="s">
        <v>266</v>
      </c>
      <c r="F7" s="114" t="s">
        <v>267</v>
      </c>
      <c r="G7" s="115">
        <v>20.0</v>
      </c>
      <c r="H7" s="112" t="s">
        <v>63</v>
      </c>
    </row>
    <row r="8" ht="102.0" customHeight="1">
      <c r="A8" s="116" t="s">
        <v>268</v>
      </c>
      <c r="B8" s="117" t="s">
        <v>269</v>
      </c>
      <c r="C8" s="117" t="s">
        <v>270</v>
      </c>
      <c r="D8" s="117" t="s">
        <v>271</v>
      </c>
      <c r="E8" s="117" t="s">
        <v>272</v>
      </c>
      <c r="F8" s="117" t="s">
        <v>273</v>
      </c>
      <c r="G8" s="118">
        <v>29.0</v>
      </c>
      <c r="H8" s="11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H5:H8">
    <cfRule type="containsText" dxfId="3" priority="1" operator="containsText" text="Completed">
      <formula>NOT(ISERROR(SEARCH(("Completed"),(H5))))</formula>
    </cfRule>
  </conditionalFormatting>
  <dataValidations>
    <dataValidation type="list" allowBlank="1" sqref="H5:H8">
      <formula1>"Not Started,In Progress,Blocked,Completed"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4" width="13.0"/>
    <col customWidth="1" min="5" max="5" width="9.0"/>
    <col customWidth="1" min="6" max="6" width="38.0"/>
    <col customWidth="1" min="7" max="7" width="18.0"/>
    <col customWidth="1" min="8" max="8" width="32.0"/>
    <col customWidth="1" min="9" max="26" width="8.63"/>
  </cols>
  <sheetData>
    <row r="1" ht="42.0" customHeight="1">
      <c r="A1" s="45" t="s">
        <v>274</v>
      </c>
      <c r="B1" s="2"/>
      <c r="C1" s="2"/>
      <c r="D1" s="2"/>
      <c r="E1" s="2"/>
      <c r="F1" s="2"/>
      <c r="G1" s="2"/>
      <c r="H1" s="2"/>
    </row>
    <row r="2" ht="31.5" customHeight="1">
      <c r="A2" s="3" t="s">
        <v>275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 ht="33.75" customHeight="1">
      <c r="A4" s="46" t="s">
        <v>276</v>
      </c>
      <c r="B4" s="47" t="s">
        <v>277</v>
      </c>
      <c r="C4" s="47" t="s">
        <v>278</v>
      </c>
      <c r="D4" s="47" t="s">
        <v>279</v>
      </c>
      <c r="E4" s="47" t="s">
        <v>280</v>
      </c>
      <c r="F4" s="47" t="s">
        <v>281</v>
      </c>
      <c r="G4" s="47" t="s">
        <v>282</v>
      </c>
      <c r="H4" s="48" t="s">
        <v>283</v>
      </c>
    </row>
    <row r="5" ht="49.5" customHeight="1">
      <c r="A5" s="119" t="s">
        <v>284</v>
      </c>
      <c r="B5" s="120" t="s">
        <v>285</v>
      </c>
      <c r="C5" s="121">
        <v>5.0</v>
      </c>
      <c r="D5" s="122">
        <v>3.0</v>
      </c>
      <c r="E5" s="123">
        <f t="shared" ref="E5:E18" si="1">MAX(0,C5-D5)</f>
        <v>2</v>
      </c>
      <c r="F5" s="120" t="s">
        <v>286</v>
      </c>
      <c r="G5" s="120" t="s">
        <v>287</v>
      </c>
      <c r="H5" s="124"/>
    </row>
    <row r="6" ht="49.5" customHeight="1">
      <c r="A6" s="125" t="s">
        <v>288</v>
      </c>
      <c r="B6" s="60" t="s">
        <v>289</v>
      </c>
      <c r="C6" s="126">
        <v>5.0</v>
      </c>
      <c r="D6" s="127">
        <v>3.0</v>
      </c>
      <c r="E6" s="128">
        <f t="shared" si="1"/>
        <v>2</v>
      </c>
      <c r="F6" s="60" t="s">
        <v>290</v>
      </c>
      <c r="G6" s="60" t="s">
        <v>291</v>
      </c>
      <c r="H6" s="64"/>
    </row>
    <row r="7" ht="49.5" customHeight="1">
      <c r="A7" s="125" t="s">
        <v>292</v>
      </c>
      <c r="B7" s="60" t="s">
        <v>293</v>
      </c>
      <c r="C7" s="126">
        <v>5.0</v>
      </c>
      <c r="D7" s="127">
        <v>3.0</v>
      </c>
      <c r="E7" s="128">
        <f t="shared" si="1"/>
        <v>2</v>
      </c>
      <c r="F7" s="60" t="s">
        <v>294</v>
      </c>
      <c r="G7" s="60" t="s">
        <v>295</v>
      </c>
      <c r="H7" s="64"/>
    </row>
    <row r="8" ht="49.5" customHeight="1">
      <c r="A8" s="125" t="s">
        <v>296</v>
      </c>
      <c r="B8" s="60" t="s">
        <v>297</v>
      </c>
      <c r="C8" s="126">
        <v>5.0</v>
      </c>
      <c r="D8" s="127">
        <v>3.0</v>
      </c>
      <c r="E8" s="128">
        <f t="shared" si="1"/>
        <v>2</v>
      </c>
      <c r="F8" s="60" t="s">
        <v>298</v>
      </c>
      <c r="G8" s="60" t="s">
        <v>299</v>
      </c>
      <c r="H8" s="64"/>
    </row>
    <row r="9" ht="49.5" customHeight="1">
      <c r="A9" s="125" t="s">
        <v>300</v>
      </c>
      <c r="B9" s="60" t="s">
        <v>301</v>
      </c>
      <c r="C9" s="126">
        <v>5.0</v>
      </c>
      <c r="D9" s="127">
        <v>3.0</v>
      </c>
      <c r="E9" s="128">
        <f t="shared" si="1"/>
        <v>2</v>
      </c>
      <c r="F9" s="60" t="s">
        <v>302</v>
      </c>
      <c r="G9" s="60" t="s">
        <v>303</v>
      </c>
      <c r="H9" s="64"/>
    </row>
    <row r="10" ht="49.5" customHeight="1">
      <c r="A10" s="125" t="s">
        <v>304</v>
      </c>
      <c r="B10" s="60" t="s">
        <v>305</v>
      </c>
      <c r="C10" s="126">
        <v>4.0</v>
      </c>
      <c r="D10" s="127">
        <v>3.0</v>
      </c>
      <c r="E10" s="128">
        <f t="shared" si="1"/>
        <v>1</v>
      </c>
      <c r="F10" s="60" t="s">
        <v>306</v>
      </c>
      <c r="G10" s="60" t="s">
        <v>307</v>
      </c>
      <c r="H10" s="64"/>
    </row>
    <row r="11" ht="49.5" customHeight="1">
      <c r="A11" s="125" t="s">
        <v>308</v>
      </c>
      <c r="B11" s="60" t="s">
        <v>309</v>
      </c>
      <c r="C11" s="126">
        <v>5.0</v>
      </c>
      <c r="D11" s="127">
        <v>3.0</v>
      </c>
      <c r="E11" s="128">
        <f t="shared" si="1"/>
        <v>2</v>
      </c>
      <c r="F11" s="60" t="s">
        <v>310</v>
      </c>
      <c r="G11" s="60" t="s">
        <v>311</v>
      </c>
      <c r="H11" s="64"/>
    </row>
    <row r="12" ht="49.5" customHeight="1">
      <c r="A12" s="125" t="s">
        <v>312</v>
      </c>
      <c r="B12" s="60" t="s">
        <v>313</v>
      </c>
      <c r="C12" s="126">
        <v>5.0</v>
      </c>
      <c r="D12" s="127">
        <v>3.0</v>
      </c>
      <c r="E12" s="128">
        <f t="shared" si="1"/>
        <v>2</v>
      </c>
      <c r="F12" s="60" t="s">
        <v>314</v>
      </c>
      <c r="G12" s="60" t="s">
        <v>315</v>
      </c>
      <c r="H12" s="64"/>
    </row>
    <row r="13" ht="49.5" customHeight="1">
      <c r="A13" s="125" t="s">
        <v>316</v>
      </c>
      <c r="B13" s="60" t="s">
        <v>317</v>
      </c>
      <c r="C13" s="126">
        <v>5.0</v>
      </c>
      <c r="D13" s="127">
        <v>3.0</v>
      </c>
      <c r="E13" s="128">
        <f t="shared" si="1"/>
        <v>2</v>
      </c>
      <c r="F13" s="60" t="s">
        <v>318</v>
      </c>
      <c r="G13" s="60" t="s">
        <v>319</v>
      </c>
      <c r="H13" s="64"/>
    </row>
    <row r="14" ht="49.5" customHeight="1">
      <c r="A14" s="125" t="s">
        <v>320</v>
      </c>
      <c r="B14" s="60" t="s">
        <v>321</v>
      </c>
      <c r="C14" s="126">
        <v>5.0</v>
      </c>
      <c r="D14" s="127">
        <v>3.0</v>
      </c>
      <c r="E14" s="128">
        <f t="shared" si="1"/>
        <v>2</v>
      </c>
      <c r="F14" s="60" t="s">
        <v>322</v>
      </c>
      <c r="G14" s="60" t="s">
        <v>323</v>
      </c>
      <c r="H14" s="64"/>
    </row>
    <row r="15" ht="49.5" customHeight="1">
      <c r="A15" s="125" t="s">
        <v>324</v>
      </c>
      <c r="B15" s="60" t="s">
        <v>325</v>
      </c>
      <c r="C15" s="126">
        <v>5.0</v>
      </c>
      <c r="D15" s="127">
        <v>3.0</v>
      </c>
      <c r="E15" s="128">
        <f t="shared" si="1"/>
        <v>2</v>
      </c>
      <c r="F15" s="60" t="s">
        <v>326</v>
      </c>
      <c r="G15" s="60" t="s">
        <v>327</v>
      </c>
      <c r="H15" s="64"/>
    </row>
    <row r="16" ht="49.5" customHeight="1">
      <c r="A16" s="125" t="s">
        <v>328</v>
      </c>
      <c r="B16" s="60" t="s">
        <v>199</v>
      </c>
      <c r="C16" s="126">
        <v>5.0</v>
      </c>
      <c r="D16" s="127">
        <v>3.0</v>
      </c>
      <c r="E16" s="128">
        <f t="shared" si="1"/>
        <v>2</v>
      </c>
      <c r="F16" s="60" t="s">
        <v>329</v>
      </c>
      <c r="G16" s="60" t="s">
        <v>330</v>
      </c>
      <c r="H16" s="64"/>
    </row>
    <row r="17" ht="49.5" customHeight="1">
      <c r="A17" s="125" t="s">
        <v>331</v>
      </c>
      <c r="B17" s="60" t="s">
        <v>211</v>
      </c>
      <c r="C17" s="126">
        <v>5.0</v>
      </c>
      <c r="D17" s="127">
        <v>3.0</v>
      </c>
      <c r="E17" s="128">
        <f t="shared" si="1"/>
        <v>2</v>
      </c>
      <c r="F17" s="60" t="s">
        <v>332</v>
      </c>
      <c r="G17" s="60" t="s">
        <v>333</v>
      </c>
      <c r="H17" s="64"/>
    </row>
    <row r="18" ht="49.5" customHeight="1">
      <c r="A18" s="129" t="s">
        <v>334</v>
      </c>
      <c r="B18" s="130" t="s">
        <v>335</v>
      </c>
      <c r="C18" s="131">
        <v>5.0</v>
      </c>
      <c r="D18" s="132">
        <v>3.0</v>
      </c>
      <c r="E18" s="133">
        <f t="shared" si="1"/>
        <v>2</v>
      </c>
      <c r="F18" s="130" t="s">
        <v>336</v>
      </c>
      <c r="G18" s="130" t="s">
        <v>337</v>
      </c>
      <c r="H18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5:E18">
    <cfRule type="colorScale" priority="1">
      <colorScale>
        <cfvo type="min"/>
        <cfvo type="percentile" val="50"/>
        <cfvo type="max"/>
        <color rgb="FFEAF6EE"/>
        <color rgb="FFFFF7E1"/>
        <color rgb="FFFCEDEA"/>
      </colorScale>
    </cfRule>
  </conditionalFormatting>
  <dataValidations>
    <dataValidation type="decimal" allowBlank="1" sqref="D5:D18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46.0"/>
    <col customWidth="1" min="3" max="3" width="48.0"/>
    <col customWidth="1" min="4" max="4" width="34.0"/>
    <col customWidth="1" min="5" max="5" width="18.0"/>
    <col customWidth="1" min="6" max="6" width="16.0"/>
    <col customWidth="1" min="7" max="7" width="52.0"/>
    <col customWidth="1" min="8" max="26" width="8.63"/>
  </cols>
  <sheetData>
    <row r="1" ht="42.0" customHeight="1">
      <c r="A1" s="45" t="s">
        <v>338</v>
      </c>
      <c r="B1" s="2"/>
      <c r="C1" s="2"/>
      <c r="D1" s="2"/>
      <c r="E1" s="2"/>
      <c r="F1" s="2"/>
      <c r="G1" s="2"/>
    </row>
    <row r="2" ht="31.5" customHeight="1">
      <c r="A2" s="3" t="s">
        <v>339</v>
      </c>
      <c r="B2" s="4"/>
      <c r="C2" s="4"/>
      <c r="D2" s="4"/>
      <c r="E2" s="4"/>
      <c r="F2" s="4"/>
      <c r="G2" s="4"/>
    </row>
    <row r="3">
      <c r="A3" s="5"/>
      <c r="B3" s="5"/>
      <c r="C3" s="5"/>
      <c r="D3" s="5"/>
      <c r="E3" s="5"/>
      <c r="F3" s="5"/>
      <c r="G3" s="5"/>
    </row>
    <row r="4" ht="33.75" customHeight="1">
      <c r="A4" s="46" t="s">
        <v>340</v>
      </c>
      <c r="B4" s="47" t="s">
        <v>341</v>
      </c>
      <c r="C4" s="47" t="s">
        <v>342</v>
      </c>
      <c r="D4" s="47" t="s">
        <v>343</v>
      </c>
      <c r="E4" s="47" t="s">
        <v>344</v>
      </c>
      <c r="F4" s="47" t="s">
        <v>53</v>
      </c>
      <c r="G4" s="48" t="s">
        <v>345</v>
      </c>
    </row>
    <row r="5" ht="81.75" customHeight="1">
      <c r="A5" s="134" t="s">
        <v>346</v>
      </c>
      <c r="B5" s="120" t="s">
        <v>347</v>
      </c>
      <c r="C5" s="120" t="s">
        <v>348</v>
      </c>
      <c r="D5" s="124" t="s">
        <v>349</v>
      </c>
      <c r="E5" s="124" t="s">
        <v>350</v>
      </c>
      <c r="F5" s="124" t="s">
        <v>351</v>
      </c>
      <c r="G5" s="135" t="s">
        <v>352</v>
      </c>
    </row>
    <row r="6" ht="81.75" customHeight="1">
      <c r="A6" s="136" t="s">
        <v>353</v>
      </c>
      <c r="B6" s="60" t="s">
        <v>354</v>
      </c>
      <c r="C6" s="60" t="s">
        <v>355</v>
      </c>
      <c r="D6" s="64" t="s">
        <v>356</v>
      </c>
      <c r="E6" s="64" t="s">
        <v>350</v>
      </c>
      <c r="F6" s="64" t="s">
        <v>351</v>
      </c>
      <c r="G6" s="137" t="s">
        <v>357</v>
      </c>
    </row>
    <row r="7" ht="81.75" customHeight="1">
      <c r="A7" s="136" t="s">
        <v>358</v>
      </c>
      <c r="B7" s="60" t="s">
        <v>359</v>
      </c>
      <c r="C7" s="60" t="s">
        <v>360</v>
      </c>
      <c r="D7" s="64" t="s">
        <v>361</v>
      </c>
      <c r="E7" s="64" t="s">
        <v>362</v>
      </c>
      <c r="F7" s="64" t="s">
        <v>351</v>
      </c>
      <c r="G7" s="137" t="s">
        <v>363</v>
      </c>
    </row>
    <row r="8" ht="81.75" customHeight="1">
      <c r="A8" s="136" t="s">
        <v>364</v>
      </c>
      <c r="B8" s="60" t="s">
        <v>365</v>
      </c>
      <c r="C8" s="60" t="s">
        <v>366</v>
      </c>
      <c r="D8" s="64" t="s">
        <v>367</v>
      </c>
      <c r="E8" s="64" t="s">
        <v>350</v>
      </c>
      <c r="F8" s="64" t="s">
        <v>351</v>
      </c>
      <c r="G8" s="137" t="s">
        <v>368</v>
      </c>
    </row>
    <row r="9" ht="81.75" customHeight="1">
      <c r="A9" s="136" t="s">
        <v>369</v>
      </c>
      <c r="B9" s="60" t="s">
        <v>370</v>
      </c>
      <c r="C9" s="60" t="s">
        <v>371</v>
      </c>
      <c r="D9" s="64" t="s">
        <v>372</v>
      </c>
      <c r="E9" s="64" t="s">
        <v>373</v>
      </c>
      <c r="F9" s="64" t="s">
        <v>351</v>
      </c>
      <c r="G9" s="137" t="s">
        <v>374</v>
      </c>
    </row>
    <row r="10" ht="81.75" customHeight="1">
      <c r="A10" s="136" t="s">
        <v>375</v>
      </c>
      <c r="B10" s="60" t="s">
        <v>376</v>
      </c>
      <c r="C10" s="60" t="s">
        <v>377</v>
      </c>
      <c r="D10" s="64" t="s">
        <v>378</v>
      </c>
      <c r="E10" s="64" t="s">
        <v>379</v>
      </c>
      <c r="F10" s="64" t="s">
        <v>351</v>
      </c>
      <c r="G10" s="137" t="s">
        <v>380</v>
      </c>
    </row>
    <row r="11" ht="81.75" customHeight="1">
      <c r="A11" s="136" t="s">
        <v>381</v>
      </c>
      <c r="B11" s="60" t="s">
        <v>382</v>
      </c>
      <c r="C11" s="60" t="s">
        <v>383</v>
      </c>
      <c r="D11" s="64" t="s">
        <v>384</v>
      </c>
      <c r="E11" s="64" t="s">
        <v>385</v>
      </c>
      <c r="F11" s="64" t="s">
        <v>351</v>
      </c>
      <c r="G11" s="137" t="s">
        <v>386</v>
      </c>
    </row>
    <row r="12" ht="81.75" customHeight="1">
      <c r="A12" s="136" t="s">
        <v>387</v>
      </c>
      <c r="B12" s="60" t="s">
        <v>388</v>
      </c>
      <c r="C12" s="60" t="s">
        <v>389</v>
      </c>
      <c r="D12" s="64" t="s">
        <v>390</v>
      </c>
      <c r="E12" s="64" t="s">
        <v>391</v>
      </c>
      <c r="F12" s="64" t="s">
        <v>351</v>
      </c>
      <c r="G12" s="137" t="s">
        <v>392</v>
      </c>
    </row>
    <row r="13" ht="81.75" customHeight="1">
      <c r="A13" s="136" t="s">
        <v>393</v>
      </c>
      <c r="B13" s="60" t="s">
        <v>394</v>
      </c>
      <c r="C13" s="60" t="s">
        <v>395</v>
      </c>
      <c r="D13" s="64" t="s">
        <v>396</v>
      </c>
      <c r="E13" s="64" t="s">
        <v>397</v>
      </c>
      <c r="F13" s="64" t="s">
        <v>351</v>
      </c>
      <c r="G13" s="137" t="s">
        <v>398</v>
      </c>
    </row>
    <row r="14" ht="81.75" customHeight="1">
      <c r="A14" s="138" t="s">
        <v>399</v>
      </c>
      <c r="B14" s="130" t="s">
        <v>400</v>
      </c>
      <c r="C14" s="130" t="s">
        <v>401</v>
      </c>
      <c r="D14" s="104" t="s">
        <v>402</v>
      </c>
      <c r="E14" s="104" t="s">
        <v>403</v>
      </c>
      <c r="F14" s="104" t="s">
        <v>351</v>
      </c>
      <c r="G14" s="139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conditionalFormatting sqref="F5:F14">
    <cfRule type="containsText" dxfId="3" priority="1" operator="containsText" text="Approved">
      <formula>NOT(ISERROR(SEARCH(("Approved"),(F5))))</formula>
    </cfRule>
  </conditionalFormatting>
  <conditionalFormatting sqref="F5:F14">
    <cfRule type="containsText" dxfId="4" priority="2" operator="containsText" text="Blocked">
      <formula>NOT(ISERROR(SEARCH(("Blocked"),(F5))))</formula>
    </cfRule>
  </conditionalFormatting>
  <conditionalFormatting sqref="F5:F14">
    <cfRule type="containsText" dxfId="6" priority="3" operator="containsText" text="Needs Review">
      <formula>NOT(ISERROR(SEARCH(("Needs Review"),(F5))))</formula>
    </cfRule>
  </conditionalFormatting>
  <dataValidations>
    <dataValidation type="list" allowBlank="1" sqref="F5:F14">
      <formula1>"Not Reviewed,Needs Review,Approved,Blocked"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42.0"/>
    <col customWidth="1" min="3" max="3" width="64.0"/>
    <col customWidth="1" min="4" max="4" width="46.0"/>
    <col customWidth="1" min="5" max="5" width="30.0"/>
    <col customWidth="1" min="6" max="6" width="16.0"/>
    <col customWidth="1" min="7" max="26" width="8.63"/>
  </cols>
  <sheetData>
    <row r="1" ht="42.0" customHeight="1">
      <c r="A1" s="45" t="s">
        <v>405</v>
      </c>
      <c r="B1" s="2"/>
      <c r="C1" s="2"/>
      <c r="D1" s="2"/>
      <c r="E1" s="2"/>
      <c r="F1" s="2"/>
    </row>
    <row r="2" ht="31.5" customHeight="1">
      <c r="A2" s="3" t="s">
        <v>406</v>
      </c>
      <c r="B2" s="4"/>
      <c r="C2" s="4"/>
      <c r="D2" s="4"/>
      <c r="E2" s="4"/>
      <c r="F2" s="4"/>
    </row>
    <row r="3">
      <c r="A3" s="5"/>
      <c r="B3" s="5"/>
      <c r="C3" s="5"/>
      <c r="D3" s="5"/>
      <c r="E3" s="5"/>
      <c r="F3" s="5"/>
    </row>
    <row r="4" ht="33.75" customHeight="1">
      <c r="A4" s="46" t="s">
        <v>407</v>
      </c>
      <c r="B4" s="47" t="s">
        <v>408</v>
      </c>
      <c r="C4" s="47" t="s">
        <v>409</v>
      </c>
      <c r="D4" s="47" t="s">
        <v>410</v>
      </c>
      <c r="E4" s="47" t="s">
        <v>411</v>
      </c>
      <c r="F4" s="48" t="s">
        <v>412</v>
      </c>
    </row>
    <row r="5" ht="63.75" customHeight="1">
      <c r="A5" s="140">
        <v>1.0</v>
      </c>
      <c r="B5" s="141" t="s">
        <v>413</v>
      </c>
      <c r="C5" s="142" t="s">
        <v>414</v>
      </c>
      <c r="D5" s="124"/>
      <c r="E5" s="124"/>
      <c r="F5" s="143">
        <v>3.0</v>
      </c>
    </row>
    <row r="6" ht="63.75" customHeight="1">
      <c r="A6" s="144">
        <v>2.0</v>
      </c>
      <c r="B6" s="145" t="s">
        <v>415</v>
      </c>
      <c r="C6" s="146" t="s">
        <v>416</v>
      </c>
      <c r="D6" s="64"/>
      <c r="E6" s="64"/>
      <c r="F6" s="147">
        <v>3.0</v>
      </c>
    </row>
    <row r="7" ht="63.75" customHeight="1">
      <c r="A7" s="144">
        <v>3.0</v>
      </c>
      <c r="B7" s="145" t="s">
        <v>417</v>
      </c>
      <c r="C7" s="146" t="s">
        <v>418</v>
      </c>
      <c r="D7" s="64"/>
      <c r="E7" s="64"/>
      <c r="F7" s="147">
        <v>3.0</v>
      </c>
    </row>
    <row r="8" ht="63.75" customHeight="1">
      <c r="A8" s="144">
        <v>4.0</v>
      </c>
      <c r="B8" s="145" t="s">
        <v>419</v>
      </c>
      <c r="C8" s="146" t="s">
        <v>420</v>
      </c>
      <c r="D8" s="64"/>
      <c r="E8" s="64"/>
      <c r="F8" s="147">
        <v>3.0</v>
      </c>
    </row>
    <row r="9" ht="63.75" customHeight="1">
      <c r="A9" s="144">
        <v>5.0</v>
      </c>
      <c r="B9" s="145" t="s">
        <v>421</v>
      </c>
      <c r="C9" s="146" t="s">
        <v>422</v>
      </c>
      <c r="D9" s="64"/>
      <c r="E9" s="64"/>
      <c r="F9" s="147">
        <v>3.0</v>
      </c>
    </row>
    <row r="10" ht="63.75" customHeight="1">
      <c r="A10" s="144">
        <v>6.0</v>
      </c>
      <c r="B10" s="145" t="s">
        <v>423</v>
      </c>
      <c r="C10" s="146" t="s">
        <v>424</v>
      </c>
      <c r="D10" s="64"/>
      <c r="E10" s="64"/>
      <c r="F10" s="147">
        <v>3.0</v>
      </c>
    </row>
    <row r="11" ht="63.75" customHeight="1">
      <c r="A11" s="144">
        <v>7.0</v>
      </c>
      <c r="B11" s="145" t="s">
        <v>425</v>
      </c>
      <c r="C11" s="146" t="s">
        <v>426</v>
      </c>
      <c r="D11" s="64"/>
      <c r="E11" s="64"/>
      <c r="F11" s="147">
        <v>3.0</v>
      </c>
    </row>
    <row r="12" ht="63.75" customHeight="1">
      <c r="A12" s="144">
        <v>8.0</v>
      </c>
      <c r="B12" s="145" t="s">
        <v>427</v>
      </c>
      <c r="C12" s="146" t="s">
        <v>428</v>
      </c>
      <c r="D12" s="64"/>
      <c r="E12" s="64"/>
      <c r="F12" s="147">
        <v>3.0</v>
      </c>
    </row>
    <row r="13" ht="63.75" customHeight="1">
      <c r="A13" s="144">
        <v>9.0</v>
      </c>
      <c r="B13" s="145" t="s">
        <v>429</v>
      </c>
      <c r="C13" s="146" t="s">
        <v>430</v>
      </c>
      <c r="D13" s="64"/>
      <c r="E13" s="64"/>
      <c r="F13" s="147">
        <v>3.0</v>
      </c>
    </row>
    <row r="14" ht="63.75" customHeight="1">
      <c r="A14" s="144">
        <v>10.0</v>
      </c>
      <c r="B14" s="145" t="s">
        <v>431</v>
      </c>
      <c r="C14" s="146" t="s">
        <v>432</v>
      </c>
      <c r="D14" s="64"/>
      <c r="E14" s="64"/>
      <c r="F14" s="147">
        <v>3.0</v>
      </c>
    </row>
    <row r="15" ht="63.75" customHeight="1">
      <c r="A15" s="144">
        <v>11.0</v>
      </c>
      <c r="B15" s="145" t="s">
        <v>433</v>
      </c>
      <c r="C15" s="146" t="s">
        <v>434</v>
      </c>
      <c r="D15" s="64"/>
      <c r="E15" s="64"/>
      <c r="F15" s="147">
        <v>3.0</v>
      </c>
    </row>
    <row r="16" ht="63.75" customHeight="1">
      <c r="A16" s="144">
        <v>12.0</v>
      </c>
      <c r="B16" s="145" t="s">
        <v>435</v>
      </c>
      <c r="C16" s="146" t="s">
        <v>436</v>
      </c>
      <c r="D16" s="64"/>
      <c r="E16" s="64"/>
      <c r="F16" s="147">
        <v>3.0</v>
      </c>
    </row>
    <row r="17" ht="63.75" customHeight="1">
      <c r="A17" s="144">
        <v>13.0</v>
      </c>
      <c r="B17" s="145" t="s">
        <v>437</v>
      </c>
      <c r="C17" s="146" t="s">
        <v>438</v>
      </c>
      <c r="D17" s="64"/>
      <c r="E17" s="64"/>
      <c r="F17" s="147">
        <v>3.0</v>
      </c>
    </row>
    <row r="18" ht="63.75" customHeight="1">
      <c r="A18" s="144">
        <v>14.0</v>
      </c>
      <c r="B18" s="145" t="s">
        <v>439</v>
      </c>
      <c r="C18" s="146" t="s">
        <v>440</v>
      </c>
      <c r="D18" s="64"/>
      <c r="E18" s="64"/>
      <c r="F18" s="147">
        <v>3.0</v>
      </c>
    </row>
    <row r="19" ht="63.75" customHeight="1">
      <c r="A19" s="148">
        <v>15.0</v>
      </c>
      <c r="B19" s="149" t="s">
        <v>441</v>
      </c>
      <c r="C19" s="150" t="s">
        <v>442</v>
      </c>
      <c r="D19" s="104"/>
      <c r="E19" s="104"/>
      <c r="F19" s="15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F5:F19">
    <cfRule type="colorScale" priority="1">
      <colorScale>
        <cfvo type="min"/>
        <cfvo type="percentile" val="50"/>
        <cfvo type="max"/>
        <color rgb="FFFCEDEA"/>
        <color rgb="FFFFF7E1"/>
        <color rgb="FFEAF6EE"/>
      </colorScale>
    </cfRule>
  </conditionalFormatting>
  <dataValidations>
    <dataValidation type="decimal" allowBlank="1" sqref="F5:F19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2.0"/>
    <col customWidth="1" min="3" max="3" width="48.0"/>
    <col customWidth="1" min="4" max="4" width="15.0"/>
    <col customWidth="1" min="5" max="5" width="68.0"/>
    <col customWidth="1" min="6" max="26" width="8.63"/>
  </cols>
  <sheetData>
    <row r="1" ht="42.0" customHeight="1">
      <c r="A1" s="45" t="s">
        <v>443</v>
      </c>
      <c r="B1" s="2"/>
      <c r="C1" s="2"/>
      <c r="D1" s="2"/>
      <c r="E1" s="2"/>
    </row>
    <row r="2" ht="31.5" customHeight="1">
      <c r="A2" s="3" t="s">
        <v>444</v>
      </c>
      <c r="B2" s="4"/>
      <c r="C2" s="4"/>
      <c r="D2" s="4"/>
      <c r="E2" s="4"/>
    </row>
    <row r="3">
      <c r="A3" s="5"/>
      <c r="B3" s="5"/>
      <c r="C3" s="5"/>
      <c r="D3" s="5"/>
      <c r="E3" s="5"/>
    </row>
    <row r="4" ht="33.75" customHeight="1">
      <c r="A4" s="46" t="s">
        <v>445</v>
      </c>
      <c r="B4" s="47" t="s">
        <v>446</v>
      </c>
      <c r="C4" s="47" t="s">
        <v>447</v>
      </c>
      <c r="D4" s="47" t="s">
        <v>448</v>
      </c>
      <c r="E4" s="48" t="s">
        <v>449</v>
      </c>
    </row>
    <row r="5" ht="48.0" customHeight="1">
      <c r="A5" s="141" t="s">
        <v>450</v>
      </c>
      <c r="B5" s="120" t="s">
        <v>451</v>
      </c>
      <c r="C5" s="120" t="s">
        <v>452</v>
      </c>
      <c r="D5" s="122" t="s">
        <v>453</v>
      </c>
      <c r="E5" s="135" t="s">
        <v>454</v>
      </c>
    </row>
    <row r="6" ht="48.0" customHeight="1">
      <c r="A6" s="145" t="s">
        <v>450</v>
      </c>
      <c r="B6" s="60" t="s">
        <v>455</v>
      </c>
      <c r="C6" s="60" t="s">
        <v>456</v>
      </c>
      <c r="D6" s="127" t="s">
        <v>319</v>
      </c>
      <c r="E6" s="137" t="s">
        <v>457</v>
      </c>
    </row>
    <row r="7" ht="48.0" customHeight="1">
      <c r="A7" s="145" t="s">
        <v>450</v>
      </c>
      <c r="B7" s="60" t="s">
        <v>458</v>
      </c>
      <c r="C7" s="60" t="s">
        <v>459</v>
      </c>
      <c r="D7" s="127" t="s">
        <v>327</v>
      </c>
      <c r="E7" s="137" t="s">
        <v>460</v>
      </c>
    </row>
    <row r="8" ht="48.0" customHeight="1">
      <c r="A8" s="145" t="s">
        <v>450</v>
      </c>
      <c r="B8" s="60" t="s">
        <v>461</v>
      </c>
      <c r="C8" s="60" t="s">
        <v>462</v>
      </c>
      <c r="D8" s="127" t="s">
        <v>463</v>
      </c>
      <c r="E8" s="137" t="s">
        <v>464</v>
      </c>
    </row>
    <row r="9" ht="48.0" customHeight="1">
      <c r="A9" s="145" t="s">
        <v>465</v>
      </c>
      <c r="B9" s="60" t="s">
        <v>466</v>
      </c>
      <c r="C9" s="60" t="s">
        <v>467</v>
      </c>
      <c r="D9" s="127" t="s">
        <v>468</v>
      </c>
      <c r="E9" s="137" t="s">
        <v>469</v>
      </c>
    </row>
    <row r="10" ht="48.0" customHeight="1">
      <c r="A10" s="145" t="s">
        <v>465</v>
      </c>
      <c r="B10" s="60" t="s">
        <v>470</v>
      </c>
      <c r="C10" s="60" t="s">
        <v>471</v>
      </c>
      <c r="D10" s="127" t="s">
        <v>299</v>
      </c>
      <c r="E10" s="137" t="s">
        <v>472</v>
      </c>
    </row>
    <row r="11" ht="48.0" customHeight="1">
      <c r="A11" s="145" t="s">
        <v>473</v>
      </c>
      <c r="B11" s="60" t="s">
        <v>474</v>
      </c>
      <c r="C11" s="60" t="s">
        <v>475</v>
      </c>
      <c r="D11" s="127" t="s">
        <v>476</v>
      </c>
      <c r="E11" s="137" t="s">
        <v>477</v>
      </c>
    </row>
    <row r="12" ht="48.0" customHeight="1">
      <c r="A12" s="145" t="s">
        <v>473</v>
      </c>
      <c r="B12" s="60" t="s">
        <v>478</v>
      </c>
      <c r="C12" s="60" t="s">
        <v>479</v>
      </c>
      <c r="D12" s="127" t="s">
        <v>480</v>
      </c>
      <c r="E12" s="137" t="s">
        <v>481</v>
      </c>
    </row>
    <row r="13" ht="48.0" customHeight="1">
      <c r="A13" s="145" t="s">
        <v>482</v>
      </c>
      <c r="B13" s="60" t="s">
        <v>483</v>
      </c>
      <c r="C13" s="60" t="s">
        <v>484</v>
      </c>
      <c r="D13" s="127" t="s">
        <v>476</v>
      </c>
      <c r="E13" s="137" t="s">
        <v>485</v>
      </c>
    </row>
    <row r="14" ht="48.0" customHeight="1">
      <c r="A14" s="145" t="s">
        <v>486</v>
      </c>
      <c r="B14" s="60" t="s">
        <v>487</v>
      </c>
      <c r="C14" s="60" t="s">
        <v>488</v>
      </c>
      <c r="D14" s="127" t="s">
        <v>327</v>
      </c>
      <c r="E14" s="137" t="s">
        <v>489</v>
      </c>
    </row>
    <row r="15" ht="48.0" customHeight="1">
      <c r="A15" s="145" t="s">
        <v>486</v>
      </c>
      <c r="B15" s="60" t="s">
        <v>490</v>
      </c>
      <c r="C15" s="60" t="s">
        <v>491</v>
      </c>
      <c r="D15" s="127" t="s">
        <v>492</v>
      </c>
      <c r="E15" s="137" t="s">
        <v>493</v>
      </c>
    </row>
    <row r="16" ht="48.0" customHeight="1">
      <c r="A16" s="145" t="s">
        <v>494</v>
      </c>
      <c r="B16" s="60" t="s">
        <v>495</v>
      </c>
      <c r="C16" s="60" t="s">
        <v>496</v>
      </c>
      <c r="D16" s="127" t="s">
        <v>333</v>
      </c>
      <c r="E16" s="137" t="s">
        <v>374</v>
      </c>
    </row>
    <row r="17" ht="48.0" customHeight="1">
      <c r="A17" s="145" t="s">
        <v>494</v>
      </c>
      <c r="B17" s="60" t="s">
        <v>497</v>
      </c>
      <c r="C17" s="60" t="s">
        <v>498</v>
      </c>
      <c r="D17" s="127" t="s">
        <v>333</v>
      </c>
      <c r="E17" s="137" t="s">
        <v>363</v>
      </c>
    </row>
    <row r="18" ht="48.0" customHeight="1">
      <c r="A18" s="145" t="s">
        <v>499</v>
      </c>
      <c r="B18" s="60" t="s">
        <v>500</v>
      </c>
      <c r="C18" s="60" t="s">
        <v>501</v>
      </c>
      <c r="D18" s="127" t="s">
        <v>502</v>
      </c>
      <c r="E18" s="137" t="s">
        <v>352</v>
      </c>
    </row>
    <row r="19" ht="48.0" customHeight="1">
      <c r="A19" s="145" t="s">
        <v>503</v>
      </c>
      <c r="B19" s="60" t="s">
        <v>504</v>
      </c>
      <c r="C19" s="60" t="s">
        <v>505</v>
      </c>
      <c r="D19" s="127" t="s">
        <v>506</v>
      </c>
      <c r="E19" s="137" t="s">
        <v>404</v>
      </c>
    </row>
    <row r="20" ht="48.0" customHeight="1">
      <c r="A20" s="149" t="s">
        <v>503</v>
      </c>
      <c r="B20" s="130" t="s">
        <v>507</v>
      </c>
      <c r="C20" s="130" t="s">
        <v>508</v>
      </c>
      <c r="D20" s="132" t="s">
        <v>506</v>
      </c>
      <c r="E20" s="139" t="s">
        <v>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